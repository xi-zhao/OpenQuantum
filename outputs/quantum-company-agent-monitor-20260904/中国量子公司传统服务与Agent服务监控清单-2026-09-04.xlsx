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19a983730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a705c1973f9d4529"/>
    <x:sheet xmlns:r="http://schemas.openxmlformats.org/officeDocument/2006/relationships" name="监控总表" sheetId="2" r:id="Rfa37567376f24910"/>
    <x:sheet xmlns:r="http://schemas.openxmlformats.org/officeDocument/2006/relationships" name="Agent重点对象" sheetId="3" r:id="Ref888b0428084e1b"/>
    <x:sheet xmlns:r="http://schemas.openxmlformats.org/officeDocument/2006/relationships" name="口径与更新" sheetId="4" r:id="R21cfb60c11e9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sz val="10"/>
      <x:color rgb="FF1F2937"/>
      <x:name val="Arial"/>
    </x:font>
    <x:font>
      <x:b/>
      <x:sz val="16"/>
      <x:color rgb="FF163A5F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1"/>
      <x:color rgb="FF163A5F"/>
      <x:name val="Arial"/>
    </x:font>
    <x:font>
      <x:b/>
      <x:sz val="10"/>
      <x:color rgb="FF163A5F"/>
      <x:name val="Arial"/>
    </x:font>
    <x:font>
      <x:b/>
      <x:sz val="15"/>
      <x:color rgb="FF163A5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8EFF6"/>
      </x:patternFill>
    </x:fill>
  </x:fills>
  <x:borders count="14">
    <x:border/>
    <x:border>
      <x:bottom style="thin">
        <x:color rgb="FF9CA3AF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3" xfId="0" applyNumberFormat="1" applyFont="1" applyFill="1" applyBorder="1"/>
    <x:xf numFmtId="200" fontId="1" fillId="0" borderId="5" xfId="0" applyNumberFormat="1" applyFont="1" applyFill="1" applyBorder="1"/>
    <x:xf numFmtId="200" fontId="1" fillId="0" borderId="7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4" fillId="2" borderId="11" xfId="0" applyNumberFormat="1" applyFont="1" applyFill="1" applyBorder="1"/>
    <x:xf numFmtId="0" fontId="4" fillId="2" borderId="12" xfId="0" applyNumberFormat="1" applyFont="1" applyFill="1" applyBorder="1"/>
    <x:xf numFmtId="0" fontId="4" fillId="2" borderId="13" xfId="0" applyNumberFormat="1" applyFont="1" applyFill="1" applyBorder="1"/>
    <x:xf numFmtId="0" fontId="4" fillId="2" borderId="11" xfId="0" applyNumberFormat="1" applyFont="1" applyFill="1" applyBorder="1" applyAlignment="1">
      <x:alignment wrapText="1"/>
    </x:xf>
    <x:xf numFmtId="0" fontId="4" fillId="2" borderId="12" xfId="0" applyNumberFormat="1" applyFont="1" applyFill="1" applyBorder="1" applyAlignment="1">
      <x:alignment wrapText="1"/>
    </x:xf>
    <x:xf numFmtId="0" fontId="4" fillId="2" borderId="13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horizontal="center" wrapText="1"/>
    </x:xf>
    <x:xf numFmtId="0" fontId="4" fillId="2" borderId="12" xfId="0" applyNumberFormat="1" applyFont="1" applyFill="1" applyBorder="1" applyAlignment="1">
      <x:alignment horizontal="center" wrapText="1"/>
    </x:xf>
    <x:xf numFmtId="0" fontId="4" fillId="2" borderId="13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horizontal="center" vertical="top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1" fontId="1" fillId="0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3034c2ae74ef7" /><Relationship Type="http://schemas.openxmlformats.org/officeDocument/2006/relationships/theme" Target="/xl/theme/theme1.xml" Id="R9e9c8c83ba71441d" /><Relationship Type="http://schemas.openxmlformats.org/officeDocument/2006/relationships/sharedStrings" Target="/xl/sharedStrings.xml" Id="R5d32ad17011846c6" /><Relationship Type="http://schemas.openxmlformats.org/officeDocument/2006/relationships/worksheet" Target="/xl/worksheets/sheet1.xml" Id="Ra705c1973f9d4529" /><Relationship Type="http://schemas.openxmlformats.org/officeDocument/2006/relationships/worksheet" Target="/xl/worksheets/sheet2.xml" Id="Rfa37567376f24910" /><Relationship Type="http://schemas.openxmlformats.org/officeDocument/2006/relationships/worksheet" Target="/xl/worksheets/sheet3.xml" Id="Ref888b0428084e1b" /><Relationship Type="http://schemas.openxmlformats.org/officeDocument/2006/relationships/worksheet" Target="/xl/worksheets/sheet4.xml" Id="R21cfb60c11e94fb9" /></Relationships>
</file>

<file path=xl/tables/table1.xml><?xml version="1.0" encoding="utf-8"?>
<x:table xmlns:x="http://schemas.openxmlformats.org/spreadsheetml/2006/main" id="1" name="QuantumCompanyMonitorTable" displayName="QuantumCompanyMonitorTable" ref="A4:R34" headerRowCount="1" totalsRowCount="0" totalsRowShown="0">
  <x:autoFilter ref="A4:R34"/>
  <x:tableColumns count="18">
    <x:tableColumn id="1" name="序号"/>
    <x:tableColumn id="2" name="公司"/>
    <x:tableColumn id="3" name="技术路线"/>
    <x:tableColumn id="4" name="传统服务"/>
    <x:tableColumn id="5" name="传统交付形态"/>
    <x:tableColumn id="6" name="主要客户"/>
    <x:tableColumn id="7" name="Agent等级"/>
    <x:tableColumn id="8" name="Agent阶段"/>
    <x:tableColumn id="9" name="Agent服务/进展"/>
    <x:tableColumn id="10" name="归属"/>
    <x:tableColumn id="11" name="官网"/>
    <x:tableColumn id="12" name="GitHub/开发入口"/>
    <x:tableColumn id="13" name="核验结论"/>
    <x:tableColumn id="14" name="监控频率"/>
    <x:tableColumn id="15" name="下次重点观察"/>
    <x:tableColumn id="16" name="传统/公司来源"/>
    <x:tableColumn id="17" name="Agent来源"/>
    <x:tableColumn id="18" name="最近核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FocusTable" displayName="AgentFocusTable" ref="A5:I10" headerRowCount="1" totalsRowCount="0" totalsRowShown="0">
  <x:autoFilter ref="A5:I10"/>
  <x:tableColumns count="9">
    <x:tableColumn id="1" name="对象"/>
    <x:tableColumn id="2" name="名单关系"/>
    <x:tableColumn id="3" name="成熟度"/>
    <x:tableColumn id="4" name="公开能力"/>
    <x:tableColumn id="5" name="不是什么"/>
    <x:tableColumn id="6" name="最强证据"/>
    <x:tableColumn id="7" name="下一核验点"/>
    <x:tableColumn id="8" name="对OpenQuantum的意义"/>
    <x:tableColumn id="9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fc8079d0b744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35f6ebb7cf4c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6" hidden="0" customWidth="1"/>
    <x:col min="3" max="3" width="3" hidden="0" customWidth="1"/>
    <x:col min="4" max="4" width="18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 t="str">
        <x:v>中国量子公司：传统服务与 Agent 服务监控</x:v>
      </x:c>
      <x:c r="B1" s="1"/>
      <x:c r="C1" s="1"/>
      <x:c r="D1" s="1"/>
      <x:c r="E1" s="1"/>
      <x:c r="F1" s="1"/>
      <x:c r="G1" s="1"/>
      <x:c r="H1" s="1"/>
    </x:row>
    <x:row r="2">
      <x:c r="A2" s="3" t="str">
        <x:v>覆盖原文 30 家公司；公开信息核验截至 2026-09-04。‘未发现’仅表示公开面未检出，不代表公司内部不存在。</x:v>
      </x:c>
      <x:c r="B2" s="3"/>
      <x:c r="C2" s="3"/>
      <x:c r="D2" s="3"/>
      <x:c r="E2" s="3"/>
      <x:c r="F2" s="3"/>
      <x:c r="G2" s="3"/>
      <x:c r="H2" s="3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8" t="str">
        <x:v>Agent成熟度</x:v>
      </x:c>
      <x:c r="B5" s="8" t="str">
        <x:v>公司数</x:v>
      </x:c>
      <x:c r="C5" s="1"/>
      <x:c r="D5" s="8" t="str">
        <x:v>技术路线</x:v>
      </x:c>
      <x:c r="E5" s="8" t="str">
        <x:v>公司数</x:v>
      </x:c>
      <x:c r="F5" s="1"/>
      <x:c r="G5" s="1"/>
      <x:c r="H5" s="1"/>
    </x:row>
    <x:row r="6">
      <x:c r="A6" s="9" t="str">
        <x:v>原名单合计</x:v>
      </x:c>
      <x:c r="B6" s="15" t="n">
        <x:f>COUNTA('监控总表'!$B$5:$B$34)</x:f>
        <x:v>30</x:v>
      </x:c>
      <x:c r="C6" s="1"/>
      <x:c r="D6" s="9" t="str">
        <x:v>超导相关</x:v>
      </x:c>
      <x:c r="E6" s="15" t="n">
        <x:f>COUNTIF('监控总表'!$C$5:$C$34,"超导")</x:f>
        <x:v>9</x:v>
      </x:c>
      <x:c r="F6" s="1"/>
      <x:c r="G6" s="1"/>
      <x:c r="H6" s="1"/>
    </x:row>
    <x:row r="7">
      <x:c r="A7" s="11" t="str">
        <x:v>L3 端到端Agent</x:v>
      </x:c>
      <x:c r="B7" s="16" t="n">
        <x:f>COUNTIF('监控总表'!$G$5:$G$34,3)</x:f>
        <x:v>1</x:v>
      </x:c>
      <x:c r="C7" s="1"/>
      <x:c r="D7" s="11" t="str">
        <x:v>离子阱相关</x:v>
      </x:c>
      <x:c r="E7" s="16" t="n">
        <x:f>COUNTIF('监控总表'!$C$5:$C$34,"离子阱")</x:f>
        <x:v>4</x:v>
      </x:c>
      <x:c r="F7" s="1"/>
      <x:c r="G7" s="1"/>
      <x:c r="H7" s="1"/>
    </x:row>
    <x:row r="8">
      <x:c r="A8" s="11" t="str">
        <x:v>L2 Agent接口/明确在研</x:v>
      </x:c>
      <x:c r="B8" s="16" t="n">
        <x:f>COUNTIF('监控总表'!$G$5:$G$34,2)</x:f>
        <x:v>3</x:v>
      </x:c>
      <x:c r="C8" s="1"/>
      <x:c r="D8" s="11" t="str">
        <x:v>中性原子相关</x:v>
      </x:c>
      <x:c r="E8" s="16" t="n">
        <x:f>COUNTIF('监控总表'!$C$5:$C$34,"中性原子")</x:f>
        <x:v>9</x:v>
      </x:c>
      <x:c r="F8" s="1"/>
      <x:c r="G8" s="1"/>
      <x:c r="H8" s="1"/>
    </x:row>
    <x:row r="9">
      <x:c r="A9" s="11" t="str">
        <x:v>L1 云/SDK/API或AI基础</x:v>
      </x:c>
      <x:c r="B9" s="16" t="n">
        <x:f>COUNTIF('监控总表'!$G$5:$G$34,1)</x:f>
        <x:v>17</x:v>
      </x:c>
      <x:c r="C9" s="1"/>
      <x:c r="D9" s="11" t="str">
        <x:v>光量子相关</x:v>
      </x:c>
      <x:c r="E9" s="16" t="n">
        <x:f>COUNTIF('监控总表'!$C$5:$C$34,"光量子")</x:f>
        <x:v>6</x:v>
      </x:c>
      <x:c r="F9" s="1"/>
      <x:c r="G9" s="1"/>
      <x:c r="H9" s="1"/>
    </x:row>
    <x:row r="10">
      <x:c r="A10" s="13" t="str">
        <x:v>L0 未见机器接口/Agent</x:v>
      </x:c>
      <x:c r="B10" s="17" t="n">
        <x:f>COUNTIF('监控总表'!$G$5:$G$34,0)</x:f>
        <x:v>9</x:v>
      </x:c>
      <x:c r="C10" s="1"/>
      <x:c r="D10" s="13" t="str">
        <x:v>传感/通信延伸</x:v>
      </x:c>
      <x:c r="E10" s="17" t="n">
        <x:f>COUNTIF('监控总表'!$C$5:$C$34,"传感/通信延伸")</x:f>
        <x:v>2</x:v>
      </x:c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20" t="str">
        <x:v>当前判断</x:v>
      </x:c>
      <x:c r="B13" s="21"/>
      <x:c r="C13" s="21"/>
      <x:c r="D13" s="21"/>
      <x:c r="E13" s="21"/>
      <x:c r="F13" s="21"/>
      <x:c r="G13" s="21"/>
      <x:c r="H13" s="22"/>
    </x:row>
    <x:row r="14" ht="50" customHeight="1">
      <x:c r="A14" s="23" t="str">
        <x:v>1</x:v>
      </x:c>
      <x:c r="B14" s="25" t="str">
        <x:v>原名单中，图灵量子是目前唯一确认公开发布端到端量子-经典混合 Agent 的公司；是否开放试用、定价、API和执行轨迹仍需继续核验。</x:v>
      </x:c>
      <x:c r="C14" s="25"/>
      <x:c r="D14" s="25"/>
      <x:c r="E14" s="25"/>
      <x:c r="F14" s="25"/>
      <x:c r="G14" s="25"/>
      <x:c r="H14" s="25"/>
    </x:row>
    <x:row r="15" ht="50" customHeight="1">
      <x:c r="A15" s="23" t="str">
        <x:v>2</x:v>
      </x:c>
      <x:c r="B15" s="25" t="str">
        <x:v>本源量子已提供官方 QPanda3 Runtime MCP，是最明确的厂商自有 Agent 工具层；它能让 AI 助手调用量子云任务，但还不是完整终端用户 Agent 产品。</x:v>
      </x:c>
      <x:c r="C15" s="25"/>
      <x:c r="D15" s="25"/>
      <x:c r="E15" s="25"/>
      <x:c r="F15" s="25"/>
      <x:c r="G15" s="25"/>
      <x:c r="H15" s="25"/>
    </x:row>
    <x:row r="16" ht="50" customHeight="1">
      <x:c r="A16" s="23" t="str">
        <x:v>3</x:v>
      </x:c>
      <x:c r="B16" s="25" t="str">
        <x:v>两仪万象通过量智开物明确研发‘智能体量子计算机’，但目前证据是研发方向和招聘，不应标成已上线服务。</x:v>
      </x:c>
      <x:c r="C16" s="25"/>
      <x:c r="D16" s="25"/>
      <x:c r="E16" s="25"/>
      <x:c r="F16" s="25"/>
      <x:c r="G16" s="25"/>
      <x:c r="H16" s="25"/>
    </x:row>
    <x:row r="17" ht="50" customHeight="1">
      <x:c r="A17" s="23" t="str">
        <x:v>4</x:v>
      </x:c>
      <x:c r="B17" s="25" t="str">
        <x:v>玻色量子的 Kaiwu SDK/GitHub 软件面较强，并出现 Agentic QUBO 合作，但尚未确认公司自有端到端 Agent。</x:v>
      </x:c>
      <x:c r="C17" s="25"/>
      <x:c r="D17" s="25"/>
      <x:c r="E17" s="25"/>
      <x:c r="F17" s="25"/>
      <x:c r="G17" s="25"/>
      <x:c r="H17" s="25"/>
    </x:row>
    <x:row r="18" ht="50" customHeight="1">
      <x:c r="A18" s="23" t="str">
        <x:v>5</x:v>
      </x:c>
      <x:c r="B18" s="25" t="str">
        <x:v>多数公司仍处于‘硬件/云/SDK/SaaS’阶段；‘量子+AI’、智能测控或自动运维不自动等于 Agent 服务。</x:v>
      </x:c>
      <x:c r="C18" s="25"/>
      <x:c r="D18" s="25"/>
      <x:c r="E18" s="25"/>
      <x:c r="F18" s="25"/>
      <x:c r="G18" s="25"/>
      <x:c r="H18" s="25"/>
    </x:row>
    <x:row r="19" ht="50" customHeight="1">
      <x:c r="A19" s="23" t="str">
        <x:v>6</x:v>
      </x:c>
      <x:c r="B19" s="25" t="str">
        <x:v>名单外需重点补充酉术量子 UnitaryLab：公开定位为 Agent 驱动的量子科学计算平台。注意它与名单中的幺正量子不是同一家公司。</x:v>
      </x:c>
      <x:c r="C19" s="25"/>
      <x:c r="D19" s="25"/>
      <x:c r="E19" s="25"/>
      <x:c r="F19" s="25"/>
      <x:c r="G19" s="25"/>
      <x:c r="H19" s="25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20" t="str">
        <x:v>建议的监控节奏</x:v>
      </x:c>
      <x:c r="B22" s="21"/>
      <x:c r="C22" s="21"/>
      <x:c r="D22" s="21"/>
      <x:c r="E22" s="21"/>
      <x:c r="F22" s="21"/>
      <x:c r="G22" s="21"/>
      <x:c r="H22" s="22"/>
    </x:row>
    <x:row r="23" ht="46" customHeight="1">
      <x:c r="A23" s="23" t="str">
        <x:v>周</x:v>
      </x:c>
      <x:c r="B23" s="24" t="str">
        <x:v>图灵、本源、两仪/量智开物、玻色，以及名单外 UnitaryLab：监控产品上线、API/MCP、GitHub release、演示和客户案例。</x:v>
      </x:c>
      <x:c r="C23" s="24"/>
      <x:c r="D23" s="24"/>
      <x:c r="E23" s="24"/>
      <x:c r="F23" s="24"/>
      <x:c r="G23" s="24"/>
      <x:c r="H23" s="24"/>
    </x:row>
    <x:row r="24" ht="46" customHeight="1">
      <x:c r="A24" s="23" t="str">
        <x:v>月</x:v>
      </x:c>
      <x:c r="B24" s="24" t="str">
        <x:v>已有云、SDK、SaaS或混合算力规划的公司：检查开发者文档、接口变化、合作伙伴和任务回执。</x:v>
      </x:c>
      <x:c r="C24" s="24"/>
      <x:c r="D24" s="24"/>
      <x:c r="E24" s="24"/>
      <x:c r="F24" s="24"/>
      <x:c r="G24" s="24"/>
      <x:c r="H24" s="24"/>
    </x:row>
    <x:row r="25" ht="46" customHeight="1">
      <x:c r="A25" s="23" t="str">
        <x:v>季</x:v>
      </x:c>
      <x:c r="B25" s="24" t="str">
        <x:v>仍以器件、整机或早期研发为主的公司：检查官网、首个软件仓库、云入口和招聘方向。</x:v>
      </x:c>
      <x:c r="C25" s="24"/>
      <x:c r="D25" s="24"/>
      <x:c r="E25" s="24"/>
      <x:c r="F25" s="24"/>
      <x:c r="G25" s="24"/>
      <x:c r="H25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16" hidden="0" customWidth="1"/>
    <x:col min="4" max="4" width="42" hidden="0" customWidth="1"/>
    <x:col min="5" max="5" width="31" hidden="0" customWidth="1"/>
    <x:col min="6" max="6" width="27" hidden="0" customWidth="1"/>
    <x:col min="7" max="7" width="10" hidden="0" customWidth="1"/>
    <x:col min="8" max="8" width="24" hidden="0" customWidth="1"/>
    <x:col min="9" max="9" width="55" hidden="0" customWidth="1"/>
    <x:col min="10" max="10" width="18" hidden="0" customWidth="1"/>
    <x:col min="11" max="11" width="30" hidden="0" customWidth="1"/>
    <x:col min="12" max="12" width="38" hidden="0" customWidth="1"/>
    <x:col min="13" max="13" width="36" hidden="0" customWidth="1"/>
    <x:col min="14" max="14" width="10" hidden="0" customWidth="1"/>
    <x:col min="15" max="15" width="42" hidden="0" customWidth="1"/>
    <x:col min="16" max="16" width="38" hidden="0" customWidth="1"/>
    <x:col min="17" max="17" width="38" hidden="0" customWidth="1"/>
    <x:col min="18" max="18" width="13" hidden="0" customWidth="1"/>
  </x:cols>
  <x:sheetData>
    <x:row r="1">
      <x:c r="A1" s="26" t="str">
        <x:v>30 家量子公司监控总表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3" t="str">
        <x:v>判定重点：公司公开提供了什么；能否被机器调用；是否真的形成 Agent。官网/GitHub未检出时统一写‘未确认’，避免把空白误报为不存在。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A4" s="36" t="str">
        <x:v>序号</x:v>
      </x:c>
      <x:c r="B4" s="37" t="str">
        <x:v>公司</x:v>
      </x:c>
      <x:c r="C4" s="37" t="str">
        <x:v>技术路线</x:v>
      </x:c>
      <x:c r="D4" s="37" t="str">
        <x:v>传统服务</x:v>
      </x:c>
      <x:c r="E4" s="37" t="str">
        <x:v>传统交付形态</x:v>
      </x:c>
      <x:c r="F4" s="37" t="str">
        <x:v>主要客户</x:v>
      </x:c>
      <x:c r="G4" s="37" t="str">
        <x:v>Agent等级</x:v>
      </x:c>
      <x:c r="H4" s="37" t="str">
        <x:v>Agent阶段</x:v>
      </x:c>
      <x:c r="I4" s="37" t="str">
        <x:v>Agent服务/进展</x:v>
      </x:c>
      <x:c r="J4" s="37" t="str">
        <x:v>归属</x:v>
      </x:c>
      <x:c r="K4" s="37" t="str">
        <x:v>官网</x:v>
      </x:c>
      <x:c r="L4" s="37" t="str">
        <x:v>GitHub/开发入口</x:v>
      </x:c>
      <x:c r="M4" s="37" t="str">
        <x:v>核验结论</x:v>
      </x:c>
      <x:c r="N4" s="37" t="str">
        <x:v>监控频率</x:v>
      </x:c>
      <x:c r="O4" s="37" t="str">
        <x:v>下次重点观察</x:v>
      </x:c>
      <x:c r="P4" s="37" t="str">
        <x:v>传统/公司来源</x:v>
      </x:c>
      <x:c r="Q4" s="37" t="str">
        <x:v>Agent来源</x:v>
      </x:c>
      <x:c r="R4" s="38" t="str">
        <x:v>最近核验</x:v>
      </x:c>
    </x:row>
    <x:row r="5" ht="74" customHeight="1">
      <x:c r="A5" s="44" t="n">
        <x:v>1</x:v>
      </x:c>
      <x:c r="B5" s="25" t="str">
        <x:v>中电信量子集团</x:v>
      </x:c>
      <x:c r="C5" s="25" t="str">
        <x:v>超导</x:v>
      </x:c>
      <x:c r="D5" s="25" t="str">
        <x:v>天衍量子云、超导量子计算机、量子安全网络与政企解决方案</x:v>
      </x:c>
      <x:c r="E5" s="25" t="str">
        <x:v>云平台；整机；安全基础设施；行业项目</x:v>
      </x:c>
      <x:c r="F5" s="25" t="str">
        <x:v>政务、电信、金融、科研与企业客户</x:v>
      </x:c>
      <x:c r="G5" s="48" t="n">
        <x:v>1</x:v>
      </x:c>
      <x:c r="H5" s="49" t="str">
        <x:v>云/API基础</x:v>
      </x:c>
      <x:c r="I5" s="25" t="str">
        <x:v>可由第三方通过天衍量子云接口做后端发现；集团有星辰智能体平台，但未见天衍量子工具与其公开打通</x:v>
      </x:c>
      <x:c r="J5" s="49" t="str">
        <x:v>公司/集团</x:v>
      </x:c>
      <x:c r="K5" s="25" t="str">
        <x:v>https://qc.zdxlz.com/</x:v>
      </x:c>
      <x:c r="L5" s="25" t="str">
        <x:v>未确认公司公开 GitHub；第三方接口见 https://github.com/FieldQuantum/fieldqkit</x:v>
      </x:c>
      <x:c r="M5" s="25" t="str">
        <x:v>未发现公司自有量子 Agent</x:v>
      </x:c>
      <x:c r="N5" s="49" t="str">
        <x:v>月</x:v>
      </x:c>
      <x:c r="O5" s="25" t="str">
        <x:v>天衍 API/SDK 文档、量子工具是否接入星辰、MCP/Agent API、真实客户任务</x:v>
      </x:c>
      <x:c r="P5" s="25" t="str">
        <x:v>https://www.chinatelecom.com.cn/ct/news/gdxw/167478.html</x:v>
      </x:c>
      <x:c r="Q5" s="25" t="str">
        <x:v>https://github.com/FieldQuantum/fieldqkit</x:v>
      </x:c>
      <x:c r="R5" s="50" t="n">
        <x:v>46269</x:v>
      </x:c>
    </x:row>
    <x:row r="6" ht="74" customHeight="1">
      <x:c r="A6" s="44" t="n">
        <x:v>2</x:v>
      </x:c>
      <x:c r="B6" s="25" t="str">
        <x:v>国盾量子</x:v>
      </x:c>
      <x:c r="C6" s="25" t="str">
        <x:v>超导</x:v>
      </x:c>
      <x:c r="D6" s="25" t="str">
        <x:v>QKD与量子安全设备、量子计算云与原型机工程、测控和制冷设备</x:v>
      </x:c>
      <x:c r="E6" s="25" t="str">
        <x:v>设备；云平台；系统集成；安全服务</x:v>
      </x:c>
      <x:c r="F6" s="25" t="str">
        <x:v>政务、金融、电力、通信、科研</x:v>
      </x:c>
      <x:c r="G6" s="48" t="n">
        <x:v>1</x:v>
      </x:c>
      <x:c r="H6" s="49" t="str">
        <x:v>云/API基础</x:v>
      </x:c>
      <x:c r="I6" s="25" t="str">
        <x:v>国盾量子云可被第三方工具接入；未见公司发布自然语言任务编排或自有 Agent 产品</x:v>
      </x:c>
      <x:c r="J6" s="49" t="str">
        <x:v>公司</x:v>
      </x:c>
      <x:c r="K6" s="25" t="str">
        <x:v>https://www.quantum-info.com/</x:v>
      </x:c>
      <x:c r="L6" s="25" t="str">
        <x:v>未确认公司公开 GitHub；第三方接口见 https://github.com/FieldQuantum/fieldqkit</x:v>
      </x:c>
      <x:c r="M6" s="25" t="str">
        <x:v>未发现公司自有量子 Agent</x:v>
      </x:c>
      <x:c r="N6" s="49" t="str">
        <x:v>月</x:v>
      </x:c>
      <x:c r="O6" s="25" t="str">
        <x:v>官方 SDK/API、Agent 入口、MCP、云任务写入能力、可审计执行记录</x:v>
      </x:c>
      <x:c r="P6" s="25" t="str">
        <x:v>https://www.quantum-info.com/</x:v>
      </x:c>
      <x:c r="Q6" s="25" t="str">
        <x:v>https://github.com/FieldQuantum/fieldqkit</x:v>
      </x:c>
      <x:c r="R6" s="50" t="n">
        <x:v>46269</x:v>
      </x:c>
    </x:row>
    <x:row r="7" ht="74" customHeight="1">
      <x:c r="A7" s="44" t="n">
        <x:v>3</x:v>
      </x:c>
      <x:c r="B7" s="25" t="str">
        <x:v>本源量子</x:v>
      </x:c>
      <x:c r="C7" s="25" t="str">
        <x:v>超导</x:v>
      </x:c>
      <x:c r="D7" s="25" t="str">
        <x:v>量子计算机、芯片、测控、稀释制冷机、量子云、QPanda软件栈、教育与行业应用</x:v>
      </x:c>
      <x:c r="E7" s="25" t="str">
        <x:v>整机；核心部件；云平台；SDK；算法包；解决方案</x:v>
      </x:c>
      <x:c r="F7" s="25" t="str">
        <x:v>科研、教育、开发者、金融/化学/制造等行业</x:v>
      </x:c>
      <x:c r="G7" s="48" t="n">
        <x:v>2</x:v>
      </x:c>
      <x:c r="H7" s="49" t="str">
        <x:v>已上线 Agent 可调用接口</x:v>
      </x:c>
      <x:c r="I7" s="25" t="str">
        <x:v>官方 QPanda3 Runtime MCP Server 可列设备、提交采样/估计/批处理、查状态/结果并取消任务；尚不是完整终端用户 Agent</x:v>
      </x:c>
      <x:c r="J7" s="49" t="str">
        <x:v>公司自有</x:v>
      </x:c>
      <x:c r="K7" s="25" t="str">
        <x:v>https://www.originqc.com.cn/</x:v>
      </x:c>
      <x:c r="L7" s="25" t="str">
        <x:v>https://github.com/OriginQ/qpanda3-runtime-mcp-server</x:v>
      </x:c>
      <x:c r="M7" s="25" t="str">
        <x:v>已提供 Agent 工具层，不等同完整 Agent 产品</x:v>
      </x:c>
      <x:c r="N7" s="49" t="str">
        <x:v>周</x:v>
      </x:c>
      <x:c r="O7" s="25" t="str">
        <x:v>MCP release、工具覆盖、鉴权/计费、任务回执、LangChain/主流客户端示例、真实QPU稳定性</x:v>
      </x:c>
      <x:c r="P7" s="25" t="str">
        <x:v>https://www.originqc.com.cn/</x:v>
      </x:c>
      <x:c r="Q7" s="25" t="str">
        <x:v>https://github.com/OriginQ/qpanda3-runtime-mcp-server</x:v>
      </x:c>
      <x:c r="R7" s="50" t="n">
        <x:v>46269</x:v>
      </x:c>
    </x:row>
    <x:row r="8" ht="74" customHeight="1">
      <x:c r="A8" s="44" t="n">
        <x:v>4</x:v>
      </x:c>
      <x:c r="B8" s="25" t="str">
        <x:v>量旋科技</x:v>
      </x:c>
      <x:c r="C8" s="25" t="str">
        <x:v>超导</x:v>
      </x:c>
      <x:c r="D8" s="25" t="str">
        <x:v>教育级核磁量子计算机、产业级超导整机、芯片/EDA/测控、线上实验平台与行业方案</x:v>
      </x:c>
      <x:c r="E8" s="25" t="str">
        <x:v>整机；部件；在线平台；软件；教育/行业方案</x:v>
      </x:c>
      <x:c r="F8" s="25" t="str">
        <x:v>高校、科研机构、开发者与行业客户</x:v>
      </x:c>
      <x:c r="G8" s="48" t="n">
        <x:v>1</x:v>
      </x:c>
      <x:c r="H8" s="49" t="str">
        <x:v>在线平台/软件基础</x:v>
      </x:c>
      <x:c r="I8" s="25" t="str">
        <x:v>官网展示线上实验平台与软件服务；未见公开 MCP、Agent API 或端到端任务 Agent</x:v>
      </x:c>
      <x:c r="J8" s="49" t="str">
        <x:v>公司</x:v>
      </x:c>
      <x:c r="K8" s="25" t="str">
        <x:v>https://www.spinq.com/zh/</x:v>
      </x:c>
      <x:c r="L8" s="25" t="str">
        <x:v>未确认公司公开 GitHub 组织</x:v>
      </x:c>
      <x:c r="M8" s="25" t="str">
        <x:v>传统数字化服务，未形成 Agent 产品</x:v>
      </x:c>
      <x:c r="N8" s="49" t="str">
        <x:v>月</x:v>
      </x:c>
      <x:c r="O8" s="25" t="str">
        <x:v>平台开放 API、自然语言入口、Agent demo、SDK/GitHub release、用户可追溯任务</x:v>
      </x:c>
      <x:c r="P8" s="25" t="str">
        <x:v>https://www.spinq.com/zh/</x:v>
      </x:c>
      <x:c r="Q8" s="25" t="str">
        <x:v>https://www.spinq.com/zh/</x:v>
      </x:c>
      <x:c r="R8" s="50" t="n">
        <x:v>46269</x:v>
      </x:c>
    </x:row>
    <x:row r="9" ht="74" customHeight="1">
      <x:c r="A9" s="44" t="n">
        <x:v>5</x:v>
      </x:c>
      <x:c r="B9" s="25" t="str">
        <x:v>逻辑比特</x:v>
      </x:c>
      <x:c r="C9" s="25" t="str">
        <x:v>超导</x:v>
      </x:c>
      <x:c r="D9" s="25" t="str">
        <x:v>超导芯片、量子计算云、量子测控与射频系统，面向纠错/逻辑比特路线</x:v>
      </x:c>
      <x:c r="E9" s="25" t="str">
        <x:v>芯片；云平台；测控/射频；科研合作</x:v>
      </x:c>
      <x:c r="F9" s="25" t="str">
        <x:v>科研团队、量子算法开发者、硬件客户</x:v>
      </x:c>
      <x:c r="G9" s="48" t="n">
        <x:v>1</x:v>
      </x:c>
      <x:c r="H9" s="49" t="str">
        <x:v>REST API/云基础</x:v>
      </x:c>
      <x:c r="I9" s="25" t="str">
        <x:v>量子云存在 API/Token，可被第三方封装；未见公司自有 Agent 产品或官方 MCP</x:v>
      </x:c>
      <x:c r="J9" s="49" t="str">
        <x:v>公司/第三方接入</x:v>
      </x:c>
      <x:c r="K9" s="25" t="str">
        <x:v>https://logicalqubit.com/</x:v>
      </x:c>
      <x:c r="L9" s="25" t="str">
        <x:v>未确认公司公开 GitHub；接口说明见 https://fieldquantum.github.io/fieldqkit/api/providers/</x:v>
      </x:c>
      <x:c r="M9" s="25" t="str">
        <x:v>Agent-ready 后端，不是 Agent 服务</x:v>
      </x:c>
      <x:c r="N9" s="49" t="str">
        <x:v>月</x:v>
      </x:c>
      <x:c r="O9" s="25" t="str">
        <x:v>官方 API/SDK 文档、工具调用合同、任务提交/取消、Agent 接入说明</x:v>
      </x:c>
      <x:c r="P9" s="25" t="str">
        <x:v>https://cloud.logicalqubit.com/landing/</x:v>
      </x:c>
      <x:c r="Q9" s="25" t="str">
        <x:v>https://fieldquantum.github.io/fieldqkit/api/providers/</x:v>
      </x:c>
      <x:c r="R9" s="50" t="n">
        <x:v>46269</x:v>
      </x:c>
    </x:row>
    <x:row r="10" ht="74" customHeight="1">
      <x:c r="A10" s="44" t="n">
        <x:v>6</x:v>
      </x:c>
      <x:c r="B10" s="25" t="str">
        <x:v>相干科技</x:v>
      </x:c>
      <x:c r="C10" s="25" t="str">
        <x:v>超导</x:v>
      </x:c>
      <x:c r="D10" s="25" t="str">
        <x:v>高密度量子测控线路与电子学一体机、云平台能力、整机方案</x:v>
      </x:c>
      <x:c r="E10" s="25" t="str">
        <x:v>测控设备；云/平台；整机方案</x:v>
      </x:c>
      <x:c r="F10" s="25" t="str">
        <x:v>科研院所、量子云与整机建设方</x:v>
      </x:c>
      <x:c r="G10" s="48" t="n">
        <x:v>1</x:v>
      </x:c>
      <x:c r="H10" s="49" t="str">
        <x:v>云/量智融合基础</x:v>
      </x:c>
      <x:c r="I10" s="25" t="str">
        <x:v>公开信息涉及量子AI融合平台合作，但未见公司自有 Agent、MCP 或 Agent API</x:v>
      </x:c>
      <x:c r="J10" s="49" t="str">
        <x:v>公司/合作</x:v>
      </x:c>
      <x:c r="K10" s="25" t="str">
        <x:v>https://mp.weixin.qq.com/s/VqK81LJrWPYqd4UPI39S2g</x:v>
      </x:c>
      <x:c r="L10" s="25" t="str">
        <x:v>未确认公司公开 GitHub 组织</x:v>
      </x:c>
      <x:c r="M10" s="25" t="str">
        <x:v>量智融合不等同 Agent 服务</x:v>
      </x:c>
      <x:c r="N10" s="49" t="str">
        <x:v>月</x:v>
      </x:c>
      <x:c r="O10" s="25" t="str">
        <x:v>官网产品化、夸父/合作平台接口、智能校准是否升级为可调用工具</x:v>
      </x:c>
      <x:c r="P10" s="25" t="str">
        <x:v>https://mp.weixin.qq.com/s/VqK81LJrWPYqd4UPI39S2g</x:v>
      </x:c>
      <x:c r="Q10" s="25" t="str">
        <x:v>https://www.cww.net.cn/article?id=608430</x:v>
      </x:c>
      <x:c r="R10" s="50" t="n">
        <x:v>46269</x:v>
      </x:c>
    </x:row>
    <x:row r="11" ht="74" customHeight="1">
      <x:c r="A11" s="44" t="n">
        <x:v>7</x:v>
      </x:c>
      <x:c r="B11" s="25" t="str">
        <x:v>国基量子</x:v>
      </x:c>
      <x:c r="C11" s="25" t="str">
        <x:v>超导</x:v>
      </x:c>
      <x:c r="D11" s="25" t="str">
        <x:v>国产超导整机、芯片与工程制造、电子-量子混合计算、云服务</x:v>
      </x:c>
      <x:c r="E11" s="25" t="str">
        <x:v>整机；制造；混合计算；云服务</x:v>
      </x:c>
      <x:c r="F11" s="25" t="str">
        <x:v>科研、政府与产业用户</x:v>
      </x:c>
      <x:c r="G11" s="48" t="n">
        <x:v>1</x:v>
      </x:c>
      <x:c r="H11" s="49" t="str">
        <x:v>云/混合计算规划</x:v>
      </x:c>
      <x:c r="I11" s="25" t="str">
        <x:v>公开材料描述云服务和混合计算，但未见公开 SDK、MCP 或任务型 Agent</x:v>
      </x:c>
      <x:c r="J11" s="49" t="str">
        <x:v>公司</x:v>
      </x:c>
      <x:c r="K11" s="25" t="str">
        <x:v>https://www.cetc.com.cn/</x:v>
      </x:c>
      <x:c r="L11" s="25" t="str">
        <x:v>未确认公司公开 GitHub 组织</x:v>
      </x:c>
      <x:c r="M11" s="25" t="str">
        <x:v>具备平台方向，Agent 证据不足</x:v>
      </x:c>
      <x:c r="N11" s="49" t="str">
        <x:v>月</x:v>
      </x:c>
      <x:c r="O11" s="25" t="str">
        <x:v>独立官网、云入口、API/SDK、Agent入口、整机交付案例</x:v>
      </x:c>
      <x:c r="P11" s="25" t="str">
        <x:v>https://news.ustc.edu.cn/info/1055/93916.htm</x:v>
      </x:c>
      <x:c r="Q11" s="25" t="str">
        <x:v>https://news.ustc.edu.cn/info/1055/93916.htm</x:v>
      </x:c>
      <x:c r="R11" s="50" t="n">
        <x:v>46269</x:v>
      </x:c>
    </x:row>
    <x:row r="12" ht="74" customHeight="1">
      <x:c r="A12" s="44" t="n">
        <x:v>8</x:v>
      </x:c>
      <x:c r="B12" s="25" t="str">
        <x:v>矩量光启</x:v>
      </x:c>
      <x:c r="C12" s="25" t="str">
        <x:v>超导</x:v>
      </x:c>
      <x:c r="D12" s="25" t="str">
        <x:v>硅基衬底超导芯片与整机、半导体产线协同、3D/TSV工程化</x:v>
      </x:c>
      <x:c r="E12" s="25" t="str">
        <x:v>芯片/整机研发；工艺平台</x:v>
      </x:c>
      <x:c r="F12" s="25" t="str">
        <x:v>芯片制造伙伴、科研与整机生态</x:v>
      </x:c>
      <x:c r="G12" s="48" t="n">
        <x:v>0</x:v>
      </x:c>
      <x:c r="H12" s="49" t="str">
        <x:v>未见数字化服务入口</x:v>
      </x:c>
      <x:c r="I12" s="25" t="str">
        <x:v>官网仍处建设/早期展示阶段；未见云、SDK、API、Agent 或公开 GitHub</x:v>
      </x:c>
      <x:c r="J12" s="49" t="str">
        <x:v>公司</x:v>
      </x:c>
      <x:c r="K12" s="25" t="str">
        <x:v>https://www.sqcomputing.com/</x:v>
      </x:c>
      <x:c r="L12" s="25" t="str">
        <x:v>未确认公司公开 GitHub 组织</x:v>
      </x:c>
      <x:c r="M12" s="25" t="str">
        <x:v>未发现 Agent 服务</x:v>
      </x:c>
      <x:c r="N12" s="49" t="str">
        <x:v>季</x:v>
      </x:c>
      <x:c r="O12" s="25" t="str">
        <x:v>官网上线、产品/开发者文档、云接口、首个软件仓库</x:v>
      </x:c>
      <x:c r="P12" s="25" t="str">
        <x:v>https://www.sqcomputing.com/</x:v>
      </x:c>
      <x:c r="Q12" s="25" t="str">
        <x:v>https://www.sqcomputing.com/</x:v>
      </x:c>
      <x:c r="R12" s="50" t="n">
        <x:v>46269</x:v>
      </x:c>
    </x:row>
    <x:row r="13" ht="74" customHeight="1">
      <x:c r="A13" s="44" t="n">
        <x:v>9</x:v>
      </x:c>
      <x:c r="B13" s="25" t="str">
        <x:v>正元量子</x:v>
      </x:c>
      <x:c r="C13" s="25" t="str">
        <x:v>超导</x:v>
      </x:c>
      <x:c r="D13" s="25" t="str">
        <x:v>3D同轴封装、集成测控、耦合器架构芯片、参量放大器、量子EDA与控制软件规划</x:v>
      </x:c>
      <x:c r="E13" s="25" t="str">
        <x:v>核心部件/软件研发规划</x:v>
      </x:c>
      <x:c r="F13" s="25" t="str">
        <x:v>整机与半导体产业伙伴</x:v>
      </x:c>
      <x:c r="G13" s="48" t="n">
        <x:v>0</x:v>
      </x:c>
      <x:c r="H13" s="49" t="str">
        <x:v>早期规划</x:v>
      </x:c>
      <x:c r="I13" s="25" t="str">
        <x:v>未见稳定官网、公开开发入口或 Agent 产品证据</x:v>
      </x:c>
      <x:c r="J13" s="49" t="str">
        <x:v>公司</x:v>
      </x:c>
      <x:c r="K13" s="25" t="str">
        <x:v>https://mp.weixin.qq.com/s/VqK81LJrWPYqd4UPI39S2g</x:v>
      </x:c>
      <x:c r="L13" s="25" t="str">
        <x:v>未确认公司公开 GitHub 组织</x:v>
      </x:c>
      <x:c r="M13" s="25" t="str">
        <x:v>未发现 Agent 服务</x:v>
      </x:c>
      <x:c r="N13" s="49" t="str">
        <x:v>季</x:v>
      </x:c>
      <x:c r="O13" s="25" t="str">
        <x:v>公司官网、EDA/控制软件发布、API/SDK、招聘中的 Agent 工程线索</x:v>
      </x:c>
      <x:c r="P13" s="25" t="str">
        <x:v>https://mp.weixin.qq.com/s/VqK81LJrWPYqd4UPI39S2g</x:v>
      </x:c>
      <x:c r="Q13" s="25" t="str">
        <x:v>https://mp.weixin.qq.com/s/VqK81LJrWPYqd4UPI39S2g</x:v>
      </x:c>
      <x:c r="R13" s="50" t="n">
        <x:v>46269</x:v>
      </x:c>
    </x:row>
    <x:row r="14" ht="74" customHeight="1">
      <x:c r="A14" s="44" t="n">
        <x:v>10</x:v>
      </x:c>
      <x:c r="B14" s="25" t="str">
        <x:v>华翊博奥（华翊量子）</x:v>
      </x:c>
      <x:c r="C14" s="25" t="str">
        <x:v>离子阱</x:v>
      </x:c>
      <x:c r="D14" s="25" t="str">
        <x:v>离子阱整机、激光稳频/测控部件、量子云与行业应用探索</x:v>
      </x:c>
      <x:c r="E14" s="25" t="str">
        <x:v>整机；核心部件；云服务；行业项目</x:v>
      </x:c>
      <x:c r="F14" s="25" t="str">
        <x:v>科研、通信、金融、医药、能源</x:v>
      </x:c>
      <x:c r="G14" s="48" t="n">
        <x:v>1</x:v>
      </x:c>
      <x:c r="H14" s="49" t="str">
        <x:v>量子云/量智合作基础</x:v>
      </x:c>
      <x:c r="I14" s="25" t="str">
        <x:v>提供量子云计算服务并参与量子AI平台合作；未见公司自有 Agent 或公开 Agent 接口</x:v>
      </x:c>
      <x:c r="J14" s="49" t="str">
        <x:v>公司/合作</x:v>
      </x:c>
      <x:c r="K14" s="25" t="str">
        <x:v>https://www.hyqubit.com/</x:v>
      </x:c>
      <x:c r="L14" s="25" t="str">
        <x:v>未确认公司公开 GitHub 组织</x:v>
      </x:c>
      <x:c r="M14" s="25" t="str">
        <x:v>有云与AI合作，未形成公开 Agent</x:v>
      </x:c>
      <x:c r="N14" s="49" t="str">
        <x:v>月</x:v>
      </x:c>
      <x:c r="O14" s="25" t="str">
        <x:v>无极一号云入口、SDK/API、AI平台工具化、自然语言任务编排</x:v>
      </x:c>
      <x:c r="P14" s="25" t="str">
        <x:v>https://www.hyqubit.com/newsinfo/8534506.html</x:v>
      </x:c>
      <x:c r="Q14" s="25" t="str">
        <x:v>https://www.hyqubit.com/newsinfo/10836695.html</x:v>
      </x:c>
      <x:c r="R14" s="50" t="n">
        <x:v>46269</x:v>
      </x:c>
    </x:row>
    <x:row r="15" ht="74" customHeight="1">
      <x:c r="A15" s="44" t="n">
        <x:v>11</x:v>
      </x:c>
      <x:c r="B15" s="25" t="str">
        <x:v>幺正量子</x:v>
      </x:c>
      <x:c r="C15" s="25" t="str">
        <x:v>离子阱</x:v>
      </x:c>
      <x:c r="D15" s="25" t="str">
        <x:v>QCCD离子阱整机、光电部件、离子阱量子算力云、算法与行业解决方案</x:v>
      </x:c>
      <x:c r="E15" s="25" t="str">
        <x:v>整机；部件；云服务；解决方案</x:v>
      </x:c>
      <x:c r="F15" s="25" t="str">
        <x:v>科研、开发者、材料/生医/安全等行业</x:v>
      </x:c>
      <x:c r="G15" s="48" t="n">
        <x:v>1</x:v>
      </x:c>
      <x:c r="H15" s="49" t="str">
        <x:v>量子云基础</x:v>
      </x:c>
      <x:c r="I15" s="25" t="str">
        <x:v>官网明确提供离子阱量子算力云服务；未见公司自有 Agent、MCP 或 Agent API。注意不要与酉术量子 UnitaryLab 混淆</x:v>
      </x:c>
      <x:c r="J15" s="49" t="str">
        <x:v>公司</x:v>
      </x:c>
      <x:c r="K15" s="25" t="str">
        <x:v>https://www.unitqc.com/</x:v>
      </x:c>
      <x:c r="L15" s="25" t="str">
        <x:v>未确认公司公开 GitHub 组织</x:v>
      </x:c>
      <x:c r="M15" s="25" t="str">
        <x:v>云服务可接入，未发现 Agent 产品</x:v>
      </x:c>
      <x:c r="N15" s="49" t="str">
        <x:v>月</x:v>
      </x:c>
      <x:c r="O15" s="25" t="str">
        <x:v>云平台开放方式、SDK/API、任务回执、Agent 接口或合作</x:v>
      </x:c>
      <x:c r="P15" s="25" t="str">
        <x:v>https://www.unitqc.com/?c=1</x:v>
      </x:c>
      <x:c r="Q15" s="25" t="str">
        <x:v>https://www.unitqc.com/</x:v>
      </x:c>
      <x:c r="R15" s="50" t="n">
        <x:v>46269</x:v>
      </x:c>
    </x:row>
    <x:row r="16" ht="74" customHeight="1">
      <x:c r="A16" s="44" t="n">
        <x:v>12</x:v>
      </x:c>
      <x:c r="B16" s="25" t="str">
        <x:v>维刻量光</x:v>
      </x:c>
      <x:c r="C16" s="25" t="str">
        <x:v>离子阱</x:v>
      </x:c>
      <x:c r="D16" s="25" t="str">
        <x:v>QCCD玻璃/石英表面阱芯片IDM、控制软件、量子指令集与平台接口</x:v>
      </x:c>
      <x:c r="E16" s="25" t="str">
        <x:v>芯片制造；软件；平台接口</x:v>
      </x:c>
      <x:c r="F16" s="25" t="str">
        <x:v>离子阱整机厂商、科研机构</x:v>
      </x:c>
      <x:c r="G16" s="48" t="n">
        <x:v>1</x:v>
      </x:c>
      <x:c r="H16" s="49" t="str">
        <x:v>平台接口基础</x:v>
      </x:c>
      <x:c r="I16" s="25" t="str">
        <x:v>公开资料提到平台接口，但未见可访问 API 文档、Agent 产品或公开 GitHub</x:v>
      </x:c>
      <x:c r="J16" s="49" t="str">
        <x:v>公司</x:v>
      </x:c>
      <x:c r="K16" s="25" t="str">
        <x:v>https://mp.weixin.qq.com/s/VqK81LJrWPYqd4UPI39S2g</x:v>
      </x:c>
      <x:c r="L16" s="25" t="str">
        <x:v>未确认公司公开 GitHub 组织</x:v>
      </x:c>
      <x:c r="M16" s="25" t="str">
        <x:v>接口方向早期，Agent 未公开</x:v>
      </x:c>
      <x:c r="N16" s="49" t="str">
        <x:v>月</x:v>
      </x:c>
      <x:c r="O16" s="25" t="str">
        <x:v>独立官网、指令集/SDK、接口文档、首个代码仓库</x:v>
      </x:c>
      <x:c r="P16" s="25" t="str">
        <x:v>https://www.36kr.com/p/3805641110511367</x:v>
      </x:c>
      <x:c r="Q16" s="25" t="str">
        <x:v>https://svtr.ai/orgs/weikeliangguang</x:v>
      </x:c>
      <x:c r="R16" s="50" t="n">
        <x:v>46269</x:v>
      </x:c>
    </x:row>
    <x:row r="17" ht="74" customHeight="1">
      <x:c r="A17" s="44" t="n">
        <x:v>13</x:v>
      </x:c>
      <x:c r="B17" s="25" t="str">
        <x:v>玉盘智能</x:v>
      </x:c>
      <x:c r="C17" s="25" t="str">
        <x:v>离子阱</x:v>
      </x:c>
      <x:c r="D17" s="25" t="str">
        <x:v>AI驱动芯片级量子控制、低时延互联、AI算力芯片与MQPU路线</x:v>
      </x:c>
      <x:c r="E17" s="25" t="str">
        <x:v>芯片/IP；系统架构；长期QCaaS规划</x:v>
      </x:c>
      <x:c r="F17" s="25" t="str">
        <x:v>量子整机、AI算力与半导体合作伙伴</x:v>
      </x:c>
      <x:c r="G17" s="48" t="n">
        <x:v>1</x:v>
      </x:c>
      <x:c r="H17" s="49" t="str">
        <x:v>AI自动控制，非任务Agent</x:v>
      </x:c>
      <x:c r="I17" s="25" t="str">
        <x:v>官网强调自优化/自学习控制与AI-QCaaS路线；当前是控制系统智能化，不是面向用户的任务 Agent</x:v>
      </x:c>
      <x:c r="J17" s="49" t="str">
        <x:v>公司</x:v>
      </x:c>
      <x:c r="K17" s="25" t="str">
        <x:v>https://www.moonquest.cn/</x:v>
      </x:c>
      <x:c r="L17" s="25" t="str">
        <x:v>未确认公司公开 GitHub 组织</x:v>
      </x:c>
      <x:c r="M17" s="25" t="str">
        <x:v>AI控制不等同 Agent 服务</x:v>
      </x:c>
      <x:c r="N17" s="49" t="str">
        <x:v>月</x:v>
      </x:c>
      <x:c r="O17" s="25" t="str">
        <x:v>MQuest API、AI-QCaaS验证、自然语言入口、工具合同、真实芯片流片</x:v>
      </x:c>
      <x:c r="P17" s="25" t="str">
        <x:v>https://www.moonquest.cn/</x:v>
      </x:c>
      <x:c r="Q17" s="25" t="str">
        <x:v>https://www.moonquest.cn/</x:v>
      </x:c>
      <x:c r="R17" s="50" t="n">
        <x:v>46269</x:v>
      </x:c>
    </x:row>
    <x:row r="18" ht="74" customHeight="1">
      <x:c r="A18" s="44" t="n">
        <x:v>14</x:v>
      </x:c>
      <x:c r="B18" s="25" t="str">
        <x:v>中科酷原</x:v>
      </x:c>
      <x:c r="C18" s="25" t="str">
        <x:v>中性原子</x:v>
      </x:c>
      <x:c r="D18" s="25" t="str">
        <x:v>中性原子量子计算机、精密测量、量子测控/光学部件、量子云与行业方案</x:v>
      </x:c>
      <x:c r="E18" s="25" t="str">
        <x:v>整机；仪器部件；云平台；行业方案</x:v>
      </x:c>
      <x:c r="F18" s="25" t="str">
        <x:v>科研、教育、金融、医药化工、优化用户</x:v>
      </x:c>
      <x:c r="G18" s="48" t="n">
        <x:v>1</x:v>
      </x:c>
      <x:c r="H18" s="49" t="str">
        <x:v>量子云基础</x:v>
      </x:c>
      <x:c r="I18" s="25" t="str">
        <x:v>官网提供量子计算云入口与应用方案；未见 Agent、MCP 或 Agent API</x:v>
      </x:c>
      <x:c r="J18" s="49" t="str">
        <x:v>公司</x:v>
      </x:c>
      <x:c r="K18" s="25" t="str">
        <x:v>https://www.cascoldatom.com/</x:v>
      </x:c>
      <x:c r="L18" s="25" t="str">
        <x:v>未确认公司公开 GitHub 组织</x:v>
      </x:c>
      <x:c r="M18" s="25" t="str">
        <x:v>云服务可接入，未发现 Agent 产品</x:v>
      </x:c>
      <x:c r="N18" s="49" t="str">
        <x:v>月</x:v>
      </x:c>
      <x:c r="O18" s="25" t="str">
        <x:v>汉原云 API/SDK、任务提交/结果结构、Agent入口、开发者文档</x:v>
      </x:c>
      <x:c r="P18" s="25" t="str">
        <x:v>https://www.cascoldatom.com/</x:v>
      </x:c>
      <x:c r="Q18" s="25" t="str">
        <x:v>https://www.cascoldatom.com/</x:v>
      </x:c>
      <x:c r="R18" s="50" t="n">
        <x:v>46269</x:v>
      </x:c>
    </x:row>
    <x:row r="19" ht="74" customHeight="1">
      <x:c r="A19" s="44" t="n">
        <x:v>15</x:v>
      </x:c>
      <x:c r="B19" s="25" t="str">
        <x:v>QUANTier</x:v>
      </x:c>
      <x:c r="C19" s="25" t="str">
        <x:v>中性原子</x:v>
      </x:c>
      <x:c r="D19" s="25" t="str">
        <x:v>浏览器量子云、图形化前端、中间件与中性原子硬件</x:v>
      </x:c>
      <x:c r="E19" s="25" t="str">
        <x:v>SaaS；前端；中间件；硬件</x:v>
      </x:c>
      <x:c r="F19" s="25" t="str">
        <x:v>教育、科研与量子硬件团队</x:v>
      </x:c>
      <x:c r="G19" s="48" t="n">
        <x:v>1</x:v>
      </x:c>
      <x:c r="H19" s="49" t="str">
        <x:v>浏览器云基础</x:v>
      </x:c>
      <x:c r="I19" s="25" t="str">
        <x:v>官网强调云端SaaS和全栈接口，但未见公开 Agent、MCP 或公司 GitHub 组织</x:v>
      </x:c>
      <x:c r="J19" s="49" t="str">
        <x:v>公司</x:v>
      </x:c>
      <x:c r="K19" s="25" t="str">
        <x:v>https://quantier.io/</x:v>
      </x:c>
      <x:c r="L19" s="25" t="str">
        <x:v>未确认公司公开 GitHub 组织</x:v>
      </x:c>
      <x:c r="M19" s="25" t="str">
        <x:v>云入口存在，Agent 未公开</x:v>
      </x:c>
      <x:c r="N19" s="49" t="str">
        <x:v>月</x:v>
      </x:c>
      <x:c r="O19" s="25" t="str">
        <x:v>开源计划兑现、API/SDK、硬件接入合同、Agent工具层</x:v>
      </x:c>
      <x:c r="P19" s="25" t="str">
        <x:v>https://quantier.io/home/</x:v>
      </x:c>
      <x:c r="Q19" s="25" t="str">
        <x:v>https://quantier.io/</x:v>
      </x:c>
      <x:c r="R19" s="50" t="n">
        <x:v>46269</x:v>
      </x:c>
    </x:row>
    <x:row r="20" ht="74" customHeight="1">
      <x:c r="A20" s="44" t="n">
        <x:v>16</x:v>
      </x:c>
      <x:c r="B20" s="25" t="str">
        <x:v>两仪万象</x:v>
      </x:c>
      <x:c r="C20" s="25" t="str">
        <x:v>中性原子</x:v>
      </x:c>
      <x:c r="D20" s="25" t="str">
        <x:v>原子量子计算机、测控系统、量子软件与云平台、科研教育衍生服务</x:v>
      </x:c>
      <x:c r="E20" s="25" t="str">
        <x:v>整机；测控；软件/云；教育/科研</x:v>
      </x:c>
      <x:c r="F20" s="25" t="str">
        <x:v>科研、教育与产业合作方</x:v>
      </x:c>
      <x:c r="G20" s="48" t="n">
        <x:v>2</x:v>
      </x:c>
      <x:c r="H20" s="49" t="str">
        <x:v>关联实体 Agent 在研</x:v>
      </x:c>
      <x:c r="I20" s="25" t="str">
        <x:v>与科大讯飞合资成立量智开物，明确研发“智能体量子计算机”，把设备/控制/数据分析封装为可调用、可组合、可验证工具；尚未见公开可用产品</x:v>
      </x:c>
      <x:c r="J20" s="49" t="str">
        <x:v>关联合资公司</x:v>
      </x:c>
      <x:c r="K20" s="25" t="str">
        <x:v>https://atomtoinfinity.com/</x:v>
      </x:c>
      <x:c r="L20" s="25" t="str">
        <x:v>未确认公开 GitHub；量智开物 https://www.iqitek.com/</x:v>
      </x:c>
      <x:c r="M20" s="25" t="str">
        <x:v>明确 Agent 方向，当前仍属在研</x:v>
      </x:c>
      <x:c r="N20" s="49" t="str">
        <x:v>周</x:v>
      </x:c>
      <x:c r="O20" s="25" t="str">
        <x:v>首个可用Agent、工具清单、实验闭环、权限/回执、开放API、用户案例</x:v>
      </x:c>
      <x:c r="P20" s="25" t="str">
        <x:v>https://atomtoinfinity.com/</x:v>
      </x:c>
      <x:c r="Q20" s="25" t="str">
        <x:v>https://www.iqitek.com/</x:v>
      </x:c>
      <x:c r="R20" s="50" t="n">
        <x:v>46269</x:v>
      </x:c>
    </x:row>
    <x:row r="21" ht="74" customHeight="1">
      <x:c r="A21" s="44" t="n">
        <x:v>17</x:v>
      </x:c>
      <x:c r="B21" s="25" t="str">
        <x:v>中器无量</x:v>
      </x:c>
      <x:c r="C21" s="25" t="str">
        <x:v>中性原子</x:v>
      </x:c>
      <x:c r="D21" s="25" t="str">
        <x:v>万比特级中性原子量子计算机、量子算力基础设施、行业应用与上云合作</x:v>
      </x:c>
      <x:c r="E21" s="25" t="str">
        <x:v>整机；算力底座；云合作；行业项目</x:v>
      </x:c>
      <x:c r="F21" s="25" t="str">
        <x:v>云运营商、医药、电力、新材料等行业</x:v>
      </x:c>
      <x:c r="G21" s="48" t="n">
        <x:v>1</x:v>
      </x:c>
      <x:c r="H21" s="49" t="str">
        <x:v>运营商云合作</x:v>
      </x:c>
      <x:c r="I21" s="25" t="str">
        <x:v>与中国移动云推进量子算力上云；未见公司自有 Agent、SDK 或 MCP</x:v>
      </x:c>
      <x:c r="J21" s="49" t="str">
        <x:v>公司/合作</x:v>
      </x:c>
      <x:c r="K21" s="25" t="str">
        <x:v>https://zqwl-quantum.com/</x:v>
      </x:c>
      <x:c r="L21" s="25" t="str">
        <x:v>未确认公司公开 GitHub 组织</x:v>
      </x:c>
      <x:c r="M21" s="25" t="str">
        <x:v>上云合作不是 Agent 服务</x:v>
      </x:c>
      <x:c r="N21" s="49" t="str">
        <x:v>月</x:v>
      </x:c>
      <x:c r="O21" s="25" t="str">
        <x:v>移动云入口、API/SDK、资源调度接口、Agent/大模型调用案例</x:v>
      </x:c>
      <x:c r="P21" s="25" t="str">
        <x:v>https://zqwl-quantum.com/</x:v>
      </x:c>
      <x:c r="Q21" s="25" t="str">
        <x:v>https://yxzg.china.com.cn/2026-05/08/content_43421809.shtml</x:v>
      </x:c>
      <x:c r="R21" s="50" t="n">
        <x:v>46269</x:v>
      </x:c>
    </x:row>
    <x:row r="22" ht="74" customHeight="1">
      <x:c r="A22" s="44" t="n">
        <x:v>18</x:v>
      </x:c>
      <x:c r="B22" s="25" t="str">
        <x:v>不筹量子</x:v>
      </x:c>
      <x:c r="C22" s="25" t="str">
        <x:v>中性原子</x:v>
      </x:c>
      <x:c r="D22" s="25" t="str">
        <x:v>中性原子整机、量子云、仪器设备、量筹一号量子AI基座及金融/天气/能源方案</x:v>
      </x:c>
      <x:c r="E22" s="25" t="str">
        <x:v>整机；云平台；仪器；算法/行业验证</x:v>
      </x:c>
      <x:c r="F22" s="25" t="str">
        <x:v>金融、气象、能源、科研与产业客户</x:v>
      </x:c>
      <x:c r="G22" s="48" t="n">
        <x:v>1</x:v>
      </x:c>
      <x:c r="H22" s="49" t="str">
        <x:v>量子AI/智能测控，非Agent</x:v>
      </x:c>
      <x:c r="I22" s="25" t="str">
        <x:v>已发布量子AI基座并强调智能化测控；未见自然语言任务编排、工具调用与执行轨迹型 Agent</x:v>
      </x:c>
      <x:c r="J22" s="49" t="str">
        <x:v>公司</x:v>
      </x:c>
      <x:c r="K22" s="25" t="str">
        <x:v>https://www.buchouatom.com/</x:v>
      </x:c>
      <x:c r="L22" s="25" t="str">
        <x:v>未确认公司公开 GitHub 组织</x:v>
      </x:c>
      <x:c r="M22" s="25" t="str">
        <x:v>AI产品不自动等于 Agent 产品</x:v>
      </x:c>
      <x:c r="N22" s="49" t="str">
        <x:v>月</x:v>
      </x:c>
      <x:c r="O22" s="25" t="str">
        <x:v>量筹一号开放接口、可调用工具、用户入口、工作流/执行证据、定价</x:v>
      </x:c>
      <x:c r="P22" s="25" t="str">
        <x:v>https://www.buchouatom.com/</x:v>
      </x:c>
      <x:c r="Q22" s="25" t="str">
        <x:v>https://www.buchouatom.com/</x:v>
      </x:c>
      <x:c r="R22" s="50" t="n">
        <x:v>46269</x:v>
      </x:c>
    </x:row>
    <x:row r="23" ht="74" customHeight="1">
      <x:c r="A23" s="44" t="n">
        <x:v>19</x:v>
      </x:c>
      <x:c r="B23" s="25" t="str">
        <x:v>太一量生</x:v>
      </x:c>
      <x:c r="C23" s="25" t="str">
        <x:v>中性原子</x:v>
      </x:c>
      <x:c r="D23" s="25" t="str">
        <x:v>镱原子通用量子计算平台研发与整机搭建</x:v>
      </x:c>
      <x:c r="E23" s="25" t="str">
        <x:v>早期研发；未来整机</x:v>
      </x:c>
      <x:c r="F23" s="25" t="str">
        <x:v>科研与产业资本合作方</x:v>
      </x:c>
      <x:c r="G23" s="48" t="n">
        <x:v>0</x:v>
      </x:c>
      <x:c r="H23" s="49" t="str">
        <x:v>早期研发</x:v>
      </x:c>
      <x:c r="I23" s="25" t="str">
        <x:v>未见公开官网产品、云、SDK、GitHub或 Agent 服务</x:v>
      </x:c>
      <x:c r="J23" s="49" t="str">
        <x:v>公司</x:v>
      </x:c>
      <x:c r="K23" s="25" t="str">
        <x:v>https://vc.pedaily.cn/company/891470.html</x:v>
      </x:c>
      <x:c r="L23" s="25" t="str">
        <x:v>未确认公司公开 GitHub 组织</x:v>
      </x:c>
      <x:c r="M23" s="25" t="str">
        <x:v>未发现 Agent 服务</x:v>
      </x:c>
      <x:c r="N23" s="49" t="str">
        <x:v>季</x:v>
      </x:c>
      <x:c r="O23" s="25" t="str">
        <x:v>独立官网、原型机、软件栈、云/API、团队招聘方向</x:v>
      </x:c>
      <x:c r="P23" s="25" t="str">
        <x:v>https://vc.pedaily.cn/company/891470.html</x:v>
      </x:c>
      <x:c r="Q23" s="25" t="str">
        <x:v>https://vc.pedaily.cn/company/891470.html</x:v>
      </x:c>
      <x:c r="R23" s="50" t="n">
        <x:v>46269</x:v>
      </x:c>
    </x:row>
    <x:row r="24" ht="74" customHeight="1">
      <x:c r="A24" s="44" t="n">
        <x:v>20</x:v>
      </x:c>
      <x:c r="B24" s="25" t="str">
        <x:v>纳开科技（纳开量子）</x:v>
      </x:c>
      <x:c r="C24" s="25" t="str">
        <x:v>中性原子</x:v>
      </x:c>
      <x:c r="D24" s="25" t="str">
        <x:v>冷原子与量子模拟实验平台、仪器模块、定制搭建与协同开发</x:v>
      </x:c>
      <x:c r="E24" s="25" t="str">
        <x:v>科研仪器；定制平台；技术服务</x:v>
      </x:c>
      <x:c r="F24" s="25" t="str">
        <x:v>高校实验室、科研机构</x:v>
      </x:c>
      <x:c r="G24" s="48" t="n">
        <x:v>0</x:v>
      </x:c>
      <x:c r="H24" s="49" t="str">
        <x:v>无公开机器接口</x:v>
      </x:c>
      <x:c r="I24" s="25" t="str">
        <x:v>官网以设备和定制工程服务为主；未见云/API、Agent或公开 GitHub</x:v>
      </x:c>
      <x:c r="J24" s="49" t="str">
        <x:v>公司</x:v>
      </x:c>
      <x:c r="K24" s="25" t="str">
        <x:v>https://www.nkquantum.com/</x:v>
      </x:c>
      <x:c r="L24" s="25" t="str">
        <x:v>未确认公司公开 GitHub 组织</x:v>
      </x:c>
      <x:c r="M24" s="25" t="str">
        <x:v>传统科研服务为主，未发现 Agent</x:v>
      </x:c>
      <x:c r="N24" s="49" t="str">
        <x:v>季</x:v>
      </x:c>
      <x:c r="O24" s="25" t="str">
        <x:v>量子计算平台产品化、软件/远程控制接口、Agent实验助手</x:v>
      </x:c>
      <x:c r="P24" s="25" t="str">
        <x:v>https://www.nkquantum.com/h-pd-21.html</x:v>
      </x:c>
      <x:c r="Q24" s="25" t="str">
        <x:v>https://www.nkquantum.com/</x:v>
      </x:c>
      <x:c r="R24" s="50" t="n">
        <x:v>46269</x:v>
      </x:c>
    </x:row>
    <x:row r="25" ht="74" customHeight="1">
      <x:c r="A25" s="44" t="n">
        <x:v>21</x:v>
      </x:c>
      <x:c r="B25" s="25" t="str">
        <x:v>无问清芯</x:v>
      </x:c>
      <x:c r="C25" s="25" t="str">
        <x:v>中性原子</x:v>
      </x:c>
      <x:c r="D25" s="25" t="str">
        <x:v>中性原子全栈架构、量子算法SaaS，覆盖药物/化学、物流、金融优化</x:v>
      </x:c>
      <x:c r="E25" s="25" t="str">
        <x:v>硬件研发；算法SaaS；行业服务</x:v>
      </x:c>
      <x:c r="F25" s="25" t="str">
        <x:v>生物制药、航空物流、金融与科研</x:v>
      </x:c>
      <x:c r="G25" s="48" t="n">
        <x:v>1</x:v>
      </x:c>
      <x:c r="H25" s="49" t="str">
        <x:v>算法SaaS基础</x:v>
      </x:c>
      <x:c r="I25" s="25" t="str">
        <x:v>已公开算法服务平台/内测SaaS，但未见任务型Agent、MCP、公开API或官方GitHub</x:v>
      </x:c>
      <x:c r="J25" s="49" t="str">
        <x:v>公司</x:v>
      </x:c>
      <x:c r="K25" s="25" t="str">
        <x:v>未确认独立官网</x:v>
      </x:c>
      <x:c r="L25" s="25" t="str">
        <x:v>未确认公司公开 GitHub 组织</x:v>
      </x:c>
      <x:c r="M25" s="25" t="str">
        <x:v>SaaS已出现，Agent能力未公开</x:v>
      </x:c>
      <x:c r="N25" s="49" t="str">
        <x:v>月</x:v>
      </x:c>
      <x:c r="O25" s="25" t="str">
        <x:v>SaaS公开入口、API、自然语言任务编排、运行回执、客户案例可复核性</x:v>
      </x:c>
      <x:c r="P25" s="25" t="str">
        <x:v>https://news.pedaily.cn/20260511/129526.shtml</x:v>
      </x:c>
      <x:c r="Q25" s="25" t="str">
        <x:v>https://www.jiemian.com/article/14529046.html</x:v>
      </x:c>
      <x:c r="R25" s="50" t="n">
        <x:v>46269</x:v>
      </x:c>
    </x:row>
    <x:row r="26" ht="74" customHeight="1">
      <x:c r="A26" s="44" t="n">
        <x:v>22</x:v>
      </x:c>
      <x:c r="B26" s="25" t="str">
        <x:v>原子矩阵</x:v>
      </x:c>
      <x:c r="C26" s="25" t="str">
        <x:v>中性原子</x:v>
      </x:c>
      <x:c r="D26" s="25" t="str">
        <x:v>大规模中性原子整机、全栈系统、量子-GPU混合部署；MatriQ算力云规划</x:v>
      </x:c>
      <x:c r="E26" s="25" t="str">
        <x:v>整机；系统集成；混合算力；云规划</x:v>
      </x:c>
      <x:c r="F26" s="25" t="str">
        <x:v>算力中心、行业客户、科研机构</x:v>
      </x:c>
      <x:c r="G26" s="48" t="n">
        <x:v>1</x:v>
      </x:c>
      <x:c r="H26" s="49" t="str">
        <x:v>混合算力/云规划</x:v>
      </x:c>
      <x:c r="I26" s="25" t="str">
        <x:v>量子-GPU工程集成与算力云规划已披露；未见公开 Agent、SDK、API或官方GitHub</x:v>
      </x:c>
      <x:c r="J26" s="49" t="str">
        <x:v>公司/合作</x:v>
      </x:c>
      <x:c r="K26" s="25" t="str">
        <x:v>未确认独立官网</x:v>
      </x:c>
      <x:c r="L26" s="25" t="str">
        <x:v>未确认公司公开 GitHub 组织</x:v>
      </x:c>
      <x:c r="M26" s="25" t="str">
        <x:v>Agent-ready 方向，当前未上线</x:v>
      </x:c>
      <x:c r="N26" s="49" t="str">
        <x:v>月</x:v>
      </x:c>
      <x:c r="O26" s="25" t="str">
        <x:v>MatriQ云上线、开放接口、异构调度、Agent调用、商业订单执行证据</x:v>
      </x:c>
      <x:c r="P26" s="25" t="str">
        <x:v>https://www.puhuacapital.com/mobile/index.php/news/info/327</x:v>
      </x:c>
      <x:c r="Q26" s="25" t="str">
        <x:v>https://www.donews.com/news/detail/4/6640575.html</x:v>
      </x:c>
      <x:c r="R26" s="50" t="n">
        <x:v>46269</x:v>
      </x:c>
    </x:row>
    <x:row r="27" ht="74" customHeight="1">
      <x:c r="A27" s="44" t="n">
        <x:v>23</x:v>
      </x:c>
      <x:c r="B27" s="25" t="str">
        <x:v>硅臻芯片</x:v>
      </x:c>
      <x:c r="C27" s="25" t="str">
        <x:v>光量子</x:v>
      </x:c>
      <x:c r="D27" s="25" t="str">
        <x:v>可编程光量子计算机、光量子芯片、QRNG、量子加密、教研与测控仪器</x:v>
      </x:c>
      <x:c r="E27" s="25" t="str">
        <x:v>整机；芯片；安全产品；教育/科研设备</x:v>
      </x:c>
      <x:c r="F27" s="25" t="str">
        <x:v>科研、教育、信息安全与开发者</x:v>
      </x:c>
      <x:c r="G27" s="48" t="n">
        <x:v>0</x:v>
      </x:c>
      <x:c r="H27" s="49" t="str">
        <x:v>免费试用但无公开接口</x:v>
      </x:c>
      <x:c r="I27" s="25" t="str">
        <x:v>官网有免费试用入口，但未确认SDK/API、Agent、MCP或官方GitHub；试用入口不等于机器可调用服务</x:v>
      </x:c>
      <x:c r="J27" s="49" t="str">
        <x:v>公司</x:v>
      </x:c>
      <x:c r="K27" s="25" t="str">
        <x:v>https://www.gz-ichip.com/</x:v>
      </x:c>
      <x:c r="L27" s="25" t="str">
        <x:v>未确认公司公开 GitHub 组织</x:v>
      </x:c>
      <x:c r="M27" s="25" t="str">
        <x:v>未发现 Agent 服务</x:v>
      </x:c>
      <x:c r="N27" s="49" t="str">
        <x:v>季</x:v>
      </x:c>
      <x:c r="O27" s="25" t="str">
        <x:v>试用形态、开发者API/SDK、光量子工具、Agent集成</x:v>
      </x:c>
      <x:c r="P27" s="25" t="str">
        <x:v>https://www.gz-ichip.com/</x:v>
      </x:c>
      <x:c r="Q27" s="25" t="str">
        <x:v>https://www.gz-ichip.com/</x:v>
      </x:c>
      <x:c r="R27" s="50" t="n">
        <x:v>46269</x:v>
      </x:c>
    </x:row>
    <x:row r="28" ht="74" customHeight="1">
      <x:c r="A28" s="44" t="n">
        <x:v>24</x:v>
      </x:c>
      <x:c r="B28" s="25" t="str">
        <x:v>玻色量子</x:v>
      </x:c>
      <x:c r="C28" s="25" t="str">
        <x:v>光量子</x:v>
      </x:c>
      <x:c r="D28" s="25" t="str">
        <x:v>相干光量子计算机、量子云枢、Kaiwu SDK、QUBO/优化与量子AI行业方案</x:v>
      </x:c>
      <x:c r="E28" s="25" t="str">
        <x:v>专用整机；云；SDK；开源插件；行业方案</x:v>
      </x:c>
      <x:c r="F28" s="25" t="str">
        <x:v>开发者、科研、高校、优化/AI/医药/金融行业</x:v>
      </x:c>
      <x:c r="G28" s="48" t="n">
        <x:v>2</x:v>
      </x:c>
      <x:c r="H28" s="49" t="str">
        <x:v>Agent合作验证</x:v>
      </x:c>
      <x:c r="I28" s="25" t="str">
        <x:v>Kaiwu SDK与KPP已开源；公开报道出现与伙伴共建 Agentic QUBO，但未确认公司自有端到端 Agent 产品</x:v>
      </x:c>
      <x:c r="J28" s="49" t="str">
        <x:v>公司/合作</x:v>
      </x:c>
      <x:c r="K28" s="25" t="str">
        <x:v>https://www.qboson.com/</x:v>
      </x:c>
      <x:c r="L28" s="25" t="str">
        <x:v>https://github.com/qboson</x:v>
      </x:c>
      <x:c r="M28" s="25" t="str">
        <x:v>强工具层+合作Agent，尚非自有完整Agent</x:v>
      </x:c>
      <x:c r="N28" s="49" t="str">
        <x:v>周</x:v>
      </x:c>
      <x:c r="O28" s="25" t="str">
        <x:v>Agentic QUBO公开接口、工具schema、演示/客户、执行回执、SDK release</x:v>
      </x:c>
      <x:c r="P28" s="25" t="str">
        <x:v>https://www.qboson.com/about</x:v>
      </x:c>
      <x:c r="Q28" s="25" t="str">
        <x:v>https://news.ikanchai.com/2026/0720/663119.shtml</x:v>
      </x:c>
      <x:c r="R28" s="50" t="n">
        <x:v>46269</x:v>
      </x:c>
    </x:row>
    <x:row r="29" ht="74" customHeight="1">
      <x:c r="A29" s="44" t="n">
        <x:v>25</x:v>
      </x:c>
      <x:c r="B29" s="25" t="str">
        <x:v>图灵量子</x:v>
      </x:c>
      <x:c r="C29" s="25" t="str">
        <x:v>光量子</x:v>
      </x:c>
      <x:c r="D29" s="25" t="str">
        <x:v>光量子计算机与芯片、量擎云、DeepQuantum框架、量子AI及行业解决方案</x:v>
      </x:c>
      <x:c r="E29" s="25" t="str">
        <x:v>整机；芯片；云平台；开源框架；行业方案</x:v>
      </x:c>
      <x:c r="F29" s="25" t="str">
        <x:v>开发者、科研、智算中心、生医/金融/交通等行业</x:v>
      </x:c>
      <x:c r="G29" s="48" t="n">
        <x:v>3</x:v>
      </x:c>
      <x:c r="H29" s="49" t="str">
        <x:v>已发布端到端 Agent</x:v>
      </x:c>
      <x:c r="I29" s="25" t="str">
        <x:v>QAgent支持自然语言目标、需求理解、任务拆解、算法匹配、量子-经典算力调度与结果生成；已接入首批工具和Skills</x:v>
      </x:c>
      <x:c r="J29" s="49" t="str">
        <x:v>公司自有</x:v>
      </x:c>
      <x:c r="K29" s="25" t="str">
        <x:v>https://www.turingq.com/</x:v>
      </x:c>
      <x:c r="L29" s="25" t="str">
        <x:v>https://github.com/TuringQ/deepquantum</x:v>
      </x:c>
      <x:c r="M29" s="25" t="str">
        <x:v>原名单中唯一确认公开发布完整 Agent 的公司</x:v>
      </x:c>
      <x:c r="N29" s="49" t="str">
        <x:v>周</x:v>
      </x:c>
      <x:c r="O29" s="25" t="str">
        <x:v>公开试用/价格、工具清单、QPU真机比例、trace/评测、客户交付与API</x:v>
      </x:c>
      <x:c r="P29" s="25" t="str">
        <x:v>https://www.turingq.com/</x:v>
      </x:c>
      <x:c r="Q29" s="25" t="str">
        <x:v>https://www.sh-italent.com/Article/202607/202607230006.shtml</x:v>
      </x:c>
      <x:c r="R29" s="50" t="n">
        <x:v>46269</x:v>
      </x:c>
    </x:row>
    <x:row r="30" ht="74" customHeight="1">
      <x:c r="A30" s="44" t="n">
        <x:v>26</x:v>
      </x:c>
      <x:c r="B30" s="25" t="str">
        <x:v>正则量子</x:v>
      </x:c>
      <x:c r="C30" s="25" t="str">
        <x:v>光量子</x:v>
      </x:c>
      <x:c r="D30" s="25" t="str">
        <x:v>光量子科教/实验设备、模拟器、硬件-软件-算法协同与量子网络规划</x:v>
      </x:c>
      <x:c r="E30" s="25" t="str">
        <x:v>教育设备；软件/模拟；器件；方案</x:v>
      </x:c>
      <x:c r="F30" s="25" t="str">
        <x:v>高校、科研与科普市场</x:v>
      </x:c>
      <x:c r="G30" s="48" t="n">
        <x:v>0</x:v>
      </x:c>
      <x:c r="H30" s="49" t="str">
        <x:v>未见公开机器接口</x:v>
      </x:c>
      <x:c r="I30" s="25" t="str">
        <x:v>官网未见云、SDK/API、Agent、MCP或公开GitHub</x:v>
      </x:c>
      <x:c r="J30" s="49" t="str">
        <x:v>公司</x:v>
      </x:c>
      <x:c r="K30" s="25" t="str">
        <x:v>https://zzqtech.com/</x:v>
      </x:c>
      <x:c r="L30" s="25" t="str">
        <x:v>未确认公司公开 GitHub 组织</x:v>
      </x:c>
      <x:c r="M30" s="25" t="str">
        <x:v>未发现 Agent 服务</x:v>
      </x:c>
      <x:c r="N30" s="49" t="str">
        <x:v>季</x:v>
      </x:c>
      <x:c r="O30" s="25" t="str">
        <x:v>云/软件入口、SDK、开发者文档、Agent或教学助手</x:v>
      </x:c>
      <x:c r="P30" s="25" t="str">
        <x:v>https://zzqtech.com/summary</x:v>
      </x:c>
      <x:c r="Q30" s="25" t="str">
        <x:v>https://zzqtech.com/</x:v>
      </x:c>
      <x:c r="R30" s="50" t="n">
        <x:v>46269</x:v>
      </x:c>
    </x:row>
    <x:row r="31" ht="74" customHeight="1">
      <x:c r="A31" s="44" t="n">
        <x:v>27</x:v>
      </x:c>
      <x:c r="B31" s="25" t="str">
        <x:v>九章量子</x:v>
      </x:c>
      <x:c r="C31" s="25" t="str">
        <x:v>光量子</x:v>
      </x:c>
      <x:c r="D31" s="25" t="str">
        <x:v>光量子关键器件与系统、科研服务、科教产品、量子云与JZQAI算法</x:v>
      </x:c>
      <x:c r="E31" s="25" t="str">
        <x:v>器件；科研服务；教育产品；云/算法</x:v>
      </x:c>
      <x:c r="F31" s="25" t="str">
        <x:v>科研、教育、开发者</x:v>
      </x:c>
      <x:c r="G31" s="48" t="n">
        <x:v>1</x:v>
      </x:c>
      <x:c r="H31" s="49" t="str">
        <x:v>云/算法基础</x:v>
      </x:c>
      <x:c r="I31" s="25" t="str">
        <x:v>存在量子云与JZQAI算法产品，但未见任务型Agent、MCP、Agent API或官方GitHub</x:v>
      </x:c>
      <x:c r="J31" s="49" t="str">
        <x:v>公司</x:v>
      </x:c>
      <x:c r="K31" s="25" t="str">
        <x:v>https://www.jiuzhangqt.com/</x:v>
      </x:c>
      <x:c r="L31" s="25" t="str">
        <x:v>未确认公司公开 GitHub 组织</x:v>
      </x:c>
      <x:c r="M31" s="25" t="str">
        <x:v>算法/云产品，Agent未公开</x:v>
      </x:c>
      <x:c r="N31" s="49" t="str">
        <x:v>月</x:v>
      </x:c>
      <x:c r="O31" s="25" t="str">
        <x:v>JZQAI开放接口、自然语言入口、工具调用、云任务回执、代码仓库</x:v>
      </x:c>
      <x:c r="P31" s="25" t="str">
        <x:v>https://www.jiuzhangqt.com/company</x:v>
      </x:c>
      <x:c r="Q31" s="25" t="str">
        <x:v>https://www.jiuzhangqt.com/products/quantum-computing/jzqai</x:v>
      </x:c>
      <x:c r="R31" s="50" t="n">
        <x:v>46269</x:v>
      </x:c>
    </x:row>
    <x:row r="32" ht="74" customHeight="1">
      <x:c r="A32" s="44" t="n">
        <x:v>28</x:v>
      </x:c>
      <x:c r="B32" s="25" t="str">
        <x:v>灵光量子</x:v>
      </x:c>
      <x:c r="C32" s="25" t="str">
        <x:v>光量子</x:v>
      </x:c>
      <x:c r="D32" s="25" t="str">
        <x:v>光量子科教机与桌面实验设备，面向教学和科普</x:v>
      </x:c>
      <x:c r="E32" s="25" t="str">
        <x:v>教育设备；科普服务</x:v>
      </x:c>
      <x:c r="F32" s="25" t="str">
        <x:v>高校、培训与科普机构</x:v>
      </x:c>
      <x:c r="G32" s="48" t="n">
        <x:v>0</x:v>
      </x:c>
      <x:c r="H32" s="49" t="str">
        <x:v>未见公开机器接口</x:v>
      </x:c>
      <x:c r="I32" s="25" t="str">
        <x:v>未见公司自有云、SDK、GitHub或Agent；注意不要与蚂蚁“灵光”AI产品混淆</x:v>
      </x:c>
      <x:c r="J32" s="49" t="str">
        <x:v>公司</x:v>
      </x:c>
      <x:c r="K32" s="25" t="str">
        <x:v>https://news.10jqka.com.cn/20260414/c675972226.shtml</x:v>
      </x:c>
      <x:c r="L32" s="25" t="str">
        <x:v>未确认公司公开 GitHub 组织</x:v>
      </x:c>
      <x:c r="M32" s="25" t="str">
        <x:v>未发现 Agent 服务</x:v>
      </x:c>
      <x:c r="N32" s="49" t="str">
        <x:v>季</x:v>
      </x:c>
      <x:c r="O32" s="25" t="str">
        <x:v>独立官网、课程软件、远程实验接口、教学Agent</x:v>
      </x:c>
      <x:c r="P32" s="25" t="str">
        <x:v>https://news.10jqka.com.cn/20260414/c675972226.shtml</x:v>
      </x:c>
      <x:c r="Q32" s="25" t="str">
        <x:v>https://news.10jqka.com.cn/20260414/c675972226.shtml</x:v>
      </x:c>
      <x:c r="R32" s="50" t="n">
        <x:v>46269</x:v>
      </x:c>
    </x:row>
    <x:row r="33" ht="74" customHeight="1">
      <x:c r="A33" s="44" t="n">
        <x:v>29</x:v>
      </x:c>
      <x:c r="B33" s="25" t="str">
        <x:v>国仪量子</x:v>
      </x:c>
      <x:c r="C33" s="25" t="str">
        <x:v>传感/通信延伸</x:v>
      </x:c>
      <x:c r="D33" s="25" t="str">
        <x:v>量子传感器、量子钻石显微镜、EPR/NMR、扫描NV、电子显微镜与相关解决方案</x:v>
      </x:c>
      <x:c r="E33" s="25" t="str">
        <x:v>科学仪器；传感器；技术方案；服务</x:v>
      </x:c>
      <x:c r="F33" s="25" t="str">
        <x:v>科研、材料、化工、生医、工业、教育</x:v>
      </x:c>
      <x:c r="G33" s="48" t="n">
        <x:v>0</x:v>
      </x:c>
      <x:c r="H33" s="49" t="str">
        <x:v>未见 Agent 服务</x:v>
      </x:c>
      <x:c r="I33" s="25" t="str">
        <x:v>官网以仪器与测量解决方案为主；未见公开设备Agent、MCP、开放API或公司GitHub</x:v>
      </x:c>
      <x:c r="J33" s="49" t="str">
        <x:v>公司</x:v>
      </x:c>
      <x:c r="K33" s="25" t="str">
        <x:v>https://www.ciqtek.com/</x:v>
      </x:c>
      <x:c r="L33" s="25" t="str">
        <x:v>未确认公司公开 GitHub 组织</x:v>
      </x:c>
      <x:c r="M33" s="25" t="str">
        <x:v>可被实验Agent集成，但公司未公开Agent</x:v>
      </x:c>
      <x:c r="N33" s="49" t="str">
        <x:v>季</x:v>
      </x:c>
      <x:c r="O33" s="25" t="str">
        <x:v>仪器远程API、自动分析助手、实验工作流、设备MCP</x:v>
      </x:c>
      <x:c r="P33" s="25" t="str">
        <x:v>https://www.ciqtek.com/about.html</x:v>
      </x:c>
      <x:c r="Q33" s="25" t="str">
        <x:v>https://www.ciqtek.com/</x:v>
      </x:c>
      <x:c r="R33" s="50" t="n">
        <x:v>46269</x:v>
      </x:c>
    </x:row>
    <x:row r="34" ht="74" customHeight="1">
      <x:c r="A34" s="44" t="n">
        <x:v>30</x:v>
      </x:c>
      <x:c r="B34" s="25" t="str">
        <x:v>问天量子</x:v>
      </x:c>
      <x:c r="C34" s="25" t="str">
        <x:v>传感/通信延伸</x:v>
      </x:c>
      <x:c r="D34" s="25" t="str">
        <x:v>QKD、QRNG、PQC、量子安全终端/网络、通信光纤量子测量与监控</x:v>
      </x:c>
      <x:c r="E34" s="25" t="str">
        <x:v>安全设备；网络建设；运维/监控；行业方案</x:v>
      </x:c>
      <x:c r="F34" s="25" t="str">
        <x:v>政务、金融、电力、电信与关键基础设施</x:v>
      </x:c>
      <x:c r="G34" s="48" t="n">
        <x:v>0</x:v>
      </x:c>
      <x:c r="H34" s="49" t="str">
        <x:v>智能运维，非LLM Agent</x:v>
      </x:c>
      <x:c r="I34" s="25" t="str">
        <x:v>“测量-定位-告警”智能运维闭环属于自动化监控；未见公开LLM Agent、MCP或Agent API</x:v>
      </x:c>
      <x:c r="J34" s="49" t="str">
        <x:v>公司</x:v>
      </x:c>
      <x:c r="K34" s="25" t="str">
        <x:v>https://www.qasky.com/</x:v>
      </x:c>
      <x:c r="L34" s="25" t="str">
        <x:v>未确认公司公开 GitHub 组织</x:v>
      </x:c>
      <x:c r="M34" s="25" t="str">
        <x:v>安全/自动化能力不等同Agent产品</x:v>
      </x:c>
      <x:c r="N34" s="49" t="str">
        <x:v>季</x:v>
      </x:c>
      <x:c r="O34" s="25" t="str">
        <x:v>安全能力是否封装为Agent工具、设备API、MCP、机器身份/密钥服务</x:v>
      </x:c>
      <x:c r="P34" s="25" t="str">
        <x:v>https://www.qasky.com/wentianliangzi/vip_doc/26917973_0_0_1.html</x:v>
      </x:c>
      <x:c r="Q34" s="25" t="str">
        <x:v>https://www.stdaily.com/web/gdxw/2026-08/27/content_570827.html</x:v>
      </x:c>
      <x:c r="R34" s="50" t="n">
        <x:v>46269</x:v>
      </x:c>
    </x:row>
  </x:sheetData>
  <x:conditionalFormatting sqref="G5:G34">
    <x:cfRule type="cellIs" dxfId="0" priority="1" operator="equal">
      <x:formula>3</x:formula>
    </x:cfRule>
    <x:cfRule type="cellIs" dxfId="1" priority="2" operator="equal">
      <x:formula>2</x:formula>
    </x:cfRule>
    <x:cfRule type="cellIs" dxfId="2" priority="3" operator="equal">
      <x:formula>1</x:formula>
    </x:cfRule>
    <x:cfRule type="cellIs" dxfId="3" priority="4" operator="equal">
      <x:formula>0</x:formula>
    </x:cfRule>
  </x:conditionalFormatting>
  <x:dataValidations count="1">
    <x:dataValidation type="list" sqref="N5:N34">
      <x:formula1>"周,月,季"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fc8079d0b744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52" hidden="0" customWidth="1"/>
    <x:col min="5" max="5" width="44" hidden="0" customWidth="1"/>
    <x:col min="6" max="6" width="38" hidden="0" customWidth="1"/>
    <x:col min="7" max="7" width="42" hidden="0" customWidth="1"/>
    <x:col min="8" max="8" width="46" hidden="0" customWidth="1"/>
    <x:col min="9" max="9" width="42" hidden="0" customWidth="1"/>
  </x:cols>
  <x:sheetData>
    <x:row r="1">
      <x:c r="A1" s="26" t="str">
        <x:v>Agent 重点对象：最值得持续跟踪的产品与接口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原名单重点 4 家 + 名单外强相关竞品 1 家。这里单列‘工具层’与‘完整Agent’，避免把 MCP/SDK 与 Agent 产品混为一谈。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>
      <x:c r="A5" s="53" t="str">
        <x:v>对象</x:v>
      </x:c>
      <x:c r="B5" s="53" t="str">
        <x:v>名单关系</x:v>
      </x:c>
      <x:c r="C5" s="53" t="str">
        <x:v>成熟度</x:v>
      </x:c>
      <x:c r="D5" s="53" t="str">
        <x:v>公开能力</x:v>
      </x:c>
      <x:c r="E5" s="53" t="str">
        <x:v>不是什么</x:v>
      </x:c>
      <x:c r="F5" s="53" t="str">
        <x:v>最强证据</x:v>
      </x:c>
      <x:c r="G5" s="53" t="str">
        <x:v>下一核验点</x:v>
      </x:c>
      <x:c r="H5" s="53" t="str">
        <x:v>对OpenQuantum的意义</x:v>
      </x:c>
      <x:c r="I5" s="53" t="str">
        <x:v>来源</x:v>
      </x:c>
    </x:row>
    <x:row r="6" ht="82" customHeight="1">
      <x:c r="A6" s="25" t="str">
        <x:v>图灵量子 QAgent</x:v>
      </x:c>
      <x:c r="B6" s="25" t="str">
        <x:v>原名单</x:v>
      </x:c>
      <x:c r="C6" s="25" t="str">
        <x:v>L3</x:v>
      </x:c>
      <x:c r="D6" s="25" t="str">
        <x:v>自然语言目标→理解→拆解→算法匹配→量子/经典算力调度→结果生成</x:v>
      </x:c>
      <x:c r="E6" s="25" t="str">
        <x:v>尚未用公开资料证明开放API、定价、完整trace与规模客户交付</x:v>
      </x:c>
      <x:c r="F6" s="25" t="str">
        <x:v>政府/WAIC发布信息 + 公司官网 + DeepQuantum GitHub</x:v>
      </x:c>
      <x:c r="G6" s="25" t="str">
        <x:v>公开试用、API、工具表、QPU任务占比、评测与回执</x:v>
      </x:c>
      <x:c r="H6" s="25" t="str">
        <x:v>直接竞品：行业入口、异构调度和低门槛体验</x:v>
      </x:c>
      <x:c r="I6" s="25" t="str">
        <x:v>https://www.sh-italent.com/Article/202607/202607230006.shtml</x:v>
      </x:c>
    </x:row>
    <x:row r="7" ht="82" customHeight="1">
      <x:c r="A7" s="25" t="str">
        <x:v>本源量子 QPanda3 Runtime MCP</x:v>
      </x:c>
      <x:c r="B7" s="25" t="str">
        <x:v>原名单</x:v>
      </x:c>
      <x:c r="C7" s="25" t="str">
        <x:v>L2</x:v>
      </x:c>
      <x:c r="D7" s="25" t="str">
        <x:v>AI助手可调用设备查询、采样/估计/批处理、任务状态/结果/取消</x:v>
      </x:c>
      <x:c r="E7" s="25" t="str">
        <x:v>不是完整用户Agent；主要是可注册的Tool Provider/MCP Server</x:v>
      </x:c>
      <x:c r="F7" s="25" t="str">
        <x:v>官方 GitHub 代码、工具表和客户端配置</x:v>
      </x:c>
      <x:c r="G7" s="25" t="str">
        <x:v>release、任务合同、错误语义、鉴权/计费、真实QPU可用性</x:v>
      </x:c>
      <x:c r="H7" s="25" t="str">
        <x:v>最佳国产真机工具接口与集成样板</x:v>
      </x:c>
      <x:c r="I7" s="25" t="str">
        <x:v>https://github.com/OriginQ/qpanda3-runtime-mcp-server</x:v>
      </x:c>
    </x:row>
    <x:row r="8" ht="82" customHeight="1">
      <x:c r="A8" s="25" t="str">
        <x:v>两仪万象 / 量智开物</x:v>
      </x:c>
      <x:c r="B8" s="25" t="str">
        <x:v>原名单/关联实体</x:v>
      </x:c>
      <x:c r="C8" s="25" t="str">
        <x:v>L2</x:v>
      </x:c>
      <x:c r="D8" s="25" t="str">
        <x:v>明确研发智能体量子计算机，目标把设备、控制、数据分析和日常操作封装为可验证工具/工作流</x:v>
      </x:c>
      <x:c r="E8" s="25" t="str">
        <x:v>目前不是已上线公众服务；招聘和研发方向不是交付证据</x:v>
      </x:c>
      <x:c r="F8" s="25" t="str">
        <x:v>量智开物官网 + 清华发布</x:v>
      </x:c>
      <x:c r="G8" s="25" t="str">
        <x:v>首个可运行Agent、实验闭环、权限、安全与来源链</x:v>
      </x:c>
      <x:c r="H8" s="25" t="str">
        <x:v>硬件原生科研Agent路线，值得做能力边界对照</x:v>
      </x:c>
      <x:c r="I8" s="25" t="str">
        <x:v>https://www.iqitek.com/</x:v>
      </x:c>
    </x:row>
    <x:row r="9" ht="82" customHeight="1">
      <x:c r="A9" s="25" t="str">
        <x:v>玻色量子</x:v>
      </x:c>
      <x:c r="B9" s="25" t="str">
        <x:v>原名单</x:v>
      </x:c>
      <x:c r="C9" s="25" t="str">
        <x:v>L2</x:v>
      </x:c>
      <x:c r="D9" s="25" t="str">
        <x:v>Kaiwu SDK/KPP开源；量子优化工具层成熟，并出现合作型 Agentic QUBO</x:v>
      </x:c>
      <x:c r="E9" s="25" t="str">
        <x:v>未确认公司自有端到端Agent；合作发布不能等同自有产品</x:v>
      </x:c>
      <x:c r="F9" s="25" t="str">
        <x:v>QBoson GitHub + 开物社区 + 合作报道</x:v>
      </x:c>
      <x:c r="G9" s="25" t="str">
        <x:v>Agent接口、工具schema、客户任务、执行证据、软件release</x:v>
      </x:c>
      <x:c r="H9" s="25" t="str">
        <x:v>QUBO/优化场景的工具竞争与可接入生态</x:v>
      </x:c>
      <x:c r="I9" s="25" t="str">
        <x:v>https://github.com/qboson</x:v>
      </x:c>
    </x:row>
    <x:row r="10" ht="82" customHeight="1">
      <x:c r="A10" s="25" t="str">
        <x:v>酉术量子 UnitaryLab</x:v>
      </x:c>
      <x:c r="B10" s="25" t="str">
        <x:v>名单外补充</x:v>
      </x:c>
      <x:c r="C10" s="25" t="str">
        <x:v>L3</x:v>
      </x:c>
      <x:c r="D10" s="25" t="str">
        <x:v>公开定位Agent驱动量子科学计算平台，含Agent引擎、模拟器、算法库与软硬一体方案</x:v>
      </x:c>
      <x:c r="E10" s="25" t="str">
        <x:v>不是名单中的幺正量子；公开能力仍需真机/交付证据核验</x:v>
      </x:c>
      <x:c r="F10" s="25" t="str">
        <x:v>公司官网 + GitHub组织与agent仓库</x:v>
      </x:c>
      <x:c r="G10" s="25" t="str">
        <x:v>可下载性、端到端实跑、结果可复核、商业客户、更新频率</x:v>
      </x:c>
      <x:c r="H10" s="25" t="str">
        <x:v>算法科研Agent的直接外围竞品，应纳入长期监控</x:v>
      </x:c>
      <x:c r="I10" s="25" t="str">
        <x:v>https://github.com/unitarylab</x:v>
      </x:c>
    </x:row>
  </x:sheetData>
  <x:pageMargins left="0.7" right="0.7" top="0.75" bottom="0.75" header="0.3" footer="0.3"/>
  <x:tableParts count="1">
    <x:tablePart xmlns:r="http://schemas.openxmlformats.org/officeDocument/2006/relationships" r:id="R4a35f6ebb7cf4cc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42" hidden="0" customWidth="1"/>
    <x:col min="5" max="5" width="14" hidden="0" customWidth="1"/>
    <x:col min="6" max="6" width="42" hidden="0" customWidth="1"/>
  </x:cols>
  <x:sheetData>
    <x:row r="1">
      <x:c r="A1" s="26" t="str">
        <x:v>判定口径与更新规则</x:v>
      </x:c>
      <x:c r="B1" s="1"/>
      <x:c r="C1" s="1"/>
      <x:c r="D1" s="1"/>
      <x:c r="E1" s="1"/>
      <x:c r="F1" s="1"/>
    </x:row>
    <x:row r="2">
      <x:c r="A2" s="3" t="str">
        <x:v>这张表服务于产品和竞争判断，不把营销词、招聘计划或第三方集成误报成公司已交付能力。</x:v>
      </x:c>
      <x:c r="B2" s="3"/>
      <x:c r="C2" s="3"/>
      <x:c r="D2" s="3"/>
      <x:c r="E2" s="3"/>
      <x:c r="F2" s="3"/>
    </x:row>
    <x:row r="3">
      <x:c r="A3" s="4"/>
      <x:c r="B3" s="4"/>
      <x:c r="C3" s="4"/>
      <x:c r="D3" s="4"/>
      <x:c r="E3" s="4"/>
      <x:c r="F3" s="4"/>
    </x:row>
    <x:row r="4">
      <x:c r="A4" s="1"/>
      <x:c r="B4" s="1"/>
      <x:c r="C4" s="1"/>
      <x:c r="D4" s="1"/>
      <x:c r="E4" s="1"/>
      <x:c r="F4" s="1"/>
    </x:row>
    <x:row r="5">
      <x:c r="A5" s="53" t="str">
        <x:v>等级</x:v>
      </x:c>
      <x:c r="B5" s="53" t="str">
        <x:v>判定</x:v>
      </x:c>
      <x:c r="C5" s="53" t="str">
        <x:v>必须看到的证据</x:v>
      </x:c>
      <x:c r="D5" s="53" t="str">
        <x:v>不计入的情形</x:v>
      </x:c>
      <x:c r="E5" s="53" t="str">
        <x:v>默认频率</x:v>
      </x:c>
      <x:c r="F5" s="53" t="str">
        <x:v>升级条件</x:v>
      </x:c>
    </x:row>
    <x:row r="6" ht="72" customHeight="1">
      <x:c r="A6" s="25" t="str">
        <x:v>L3</x:v>
      </x:c>
      <x:c r="B6" s="25" t="str">
        <x:v>已上线端到端Agent</x:v>
      </x:c>
      <x:c r="C6" s="25" t="str">
        <x:v>公开产品/演示；自然语言任务；可调用工具或算力；结果返回；最好有trace/回执</x:v>
      </x:c>
      <x:c r="D6" s="25" t="str">
        <x:v>只说AI+量子、只发布算法或聊天问答</x:v>
      </x:c>
      <x:c r="E6" s="25" t="str">
        <x:v>周</x:v>
      </x:c>
      <x:c r="F6" s="25" t="str">
        <x:v>维持L3需持续可访问、存在真实任务或客户证据</x:v>
      </x:c>
    </x:row>
    <x:row r="7" ht="72" customHeight="1">
      <x:c r="A7" s="25" t="str">
        <x:v>L2</x:v>
      </x:c>
      <x:c r="B7" s="25" t="str">
        <x:v>Agent可调用接口已上线，或明确Agent专项在研</x:v>
      </x:c>
      <x:c r="C7" s="25" t="str">
        <x:v>MCP/Agent API/Skill仓库；或明确的Agent产品研发与工具化描述</x:v>
      </x:c>
      <x:c r="D7" s="25" t="str">
        <x:v>普通SDK/API没有Agent语义；招聘只可标在研</x:v>
      </x:c>
      <x:c r="E7" s="25" t="str">
        <x:v>周</x:v>
      </x:c>
      <x:c r="F7" s="25" t="str">
        <x:v>公开可用端到端流程升级L3；项目停滞或无产品降级</x:v>
      </x:c>
    </x:row>
    <x:row r="8" ht="72" customHeight="1">
      <x:c r="A8" s="25" t="str">
        <x:v>L1</x:v>
      </x:c>
      <x:c r="B8" s="25" t="str">
        <x:v>具备云/SDK/API/SaaS或AI自动化基础</x:v>
      </x:c>
      <x:c r="C8" s="25" t="str">
        <x:v>可访问云、开发者接口、在线SaaS、智能控制/分析能力</x:v>
      </x:c>
      <x:c r="D8" s="25" t="str">
        <x:v>传统网页、一次性项目宣传</x:v>
      </x:c>
      <x:c r="E8" s="25" t="str">
        <x:v>月</x:v>
      </x:c>
      <x:c r="F8" s="25" t="str">
        <x:v>出现Agent专属接口/产品或明确工具调用合同升级</x:v>
      </x:c>
    </x:row>
    <x:row r="9" ht="72" customHeight="1">
      <x:c r="A9" s="25" t="str">
        <x:v>L0</x:v>
      </x:c>
      <x:c r="B9" s="25" t="str">
        <x:v>公开面未见机器接口或Agent</x:v>
      </x:c>
      <x:c r="C9" s="25" t="str">
        <x:v>官网/产品页/GitHub均未检出相关证据</x:v>
      </x:c>
      <x:c r="D9" s="25" t="str">
        <x:v>不能写‘不存在’，只能写‘未发现’</x:v>
      </x:c>
      <x:c r="E9" s="25" t="str">
        <x:v>季</x:v>
      </x:c>
      <x:c r="F9" s="25" t="str">
        <x:v>出现云、SDK、API、SaaS、MCP或Agent产品时升级</x:v>
      </x:c>
    </x:row>
    <x:row r="10">
      <x:c r="A10" s="1"/>
      <x:c r="B10" s="1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>
      <x:c r="A12" s="20" t="str">
        <x:v>每次更新流程</x:v>
      </x:c>
      <x:c r="B12" s="21"/>
      <x:c r="C12" s="21"/>
      <x:c r="D12" s="21"/>
      <x:c r="E12" s="21"/>
      <x:c r="F12" s="22"/>
    </x:row>
    <x:row r="13" ht="42" customHeight="1">
      <x:c r="A13" s="54" t="str">
        <x:v>1</x:v>
      </x:c>
      <x:c r="B13" s="25" t="str">
        <x:v>官网产品页</x:v>
      </x:c>
      <x:c r="C13" s="25" t="str">
        <x:v>核对产品、云、SaaS、开发者入口、定价、试用和客户案例；记录页面日期与URL。</x:v>
      </x:c>
      <x:c r="D13" s="25"/>
      <x:c r="E13" s="25"/>
      <x:c r="F13" s="25"/>
    </x:row>
    <x:row r="14" ht="42" customHeight="1">
      <x:c r="A14" s="54" t="str">
        <x:v>2</x:v>
      </x:c>
      <x:c r="B14" s="25" t="str">
        <x:v>GitHub/代码托管</x:v>
      </x:c>
      <x:c r="C14" s="25" t="str">
        <x:v>找官方组织、SDK、API示例、MCP/Skill、release和最近更新；不把同名项目误认成公司仓库。</x:v>
      </x:c>
      <x:c r="D14" s="25"/>
      <x:c r="E14" s="25"/>
      <x:c r="F14" s="25"/>
    </x:row>
    <x:row r="15" ht="42" customHeight="1">
      <x:c r="A15" s="54" t="str">
        <x:v>3</x:v>
      </x:c>
      <x:c r="B15" s="25" t="str">
        <x:v>Agent真实性</x:v>
      </x:c>
      <x:c r="C15" s="25" t="str">
        <x:v>确认是否有任务理解、工具调用、状态、结果与可追溯证据；只有聊天页面不够。</x:v>
      </x:c>
      <x:c r="D15" s="25"/>
      <x:c r="E15" s="25"/>
      <x:c r="F15" s="25"/>
    </x:row>
    <x:row r="16" ht="42" customHeight="1">
      <x:c r="A16" s="54" t="str">
        <x:v>4</x:v>
      </x:c>
      <x:c r="B16" s="25" t="str">
        <x:v>归属判断</x:v>
      </x:c>
      <x:c r="C16" s="25" t="str">
        <x:v>分清公司自有、关联公司、联合发布、第三方封装；合作伙伴能力不能自动归到该公司。</x:v>
      </x:c>
      <x:c r="D16" s="25"/>
      <x:c r="E16" s="25"/>
      <x:c r="F16" s="25"/>
    </x:row>
    <x:row r="17" ht="42" customHeight="1">
      <x:c r="A17" s="54" t="str">
        <x:v>5</x:v>
      </x:c>
      <x:c r="B17" s="25" t="str">
        <x:v>变更记录</x:v>
      </x:c>
      <x:c r="C17" s="25" t="str">
        <x:v>更新Agent等级、阶段、证据URL、核验日期和下一观察信号；保留旧判断以便看迁移。</x:v>
      </x:c>
      <x:c r="D17" s="25"/>
      <x:c r="E17" s="25"/>
      <x:c r="F17" s="25"/>
    </x:row>
    <x:row r="18" ht="42" customHeight="1">
      <x:c r="A18" s="54" t="str">
        <x:v>6</x:v>
      </x:c>
      <x:c r="B18" s="25" t="str">
        <x:v>升级门槛</x:v>
      </x:c>
      <x:c r="C18" s="25" t="str">
        <x:v>新增L3前至少需要一条官方产品证据和一条可运行/可复核证据；只有媒体稿时最多L2。</x:v>
      </x:c>
      <x:c r="D18" s="25"/>
      <x:c r="E18" s="25"/>
      <x:c r="F18" s="25"/>
    </x:row>
    <x:row r="19" ht="42" customHeight="1">
      <x:c r="A19" s="54" t="str">
        <x:v>7</x:v>
      </x:c>
      <x:c r="B19" s="25" t="str">
        <x:v>停止/转人工</x:v>
      </x:c>
      <x:c r="C19" s="25" t="str">
        <x:v>登录、付费、验证码、申请试用、提交真实任务或拿不到公开证据时停止自动判断，由人决定。</x:v>
      </x:c>
      <x:c r="D19" s="25"/>
      <x:c r="E19" s="25"/>
      <x:c r="F19" s="25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20" t="str">
        <x:v>高信号关键词</x:v>
      </x:c>
      <x:c r="B22" s="21"/>
      <x:c r="C22" s="21"/>
      <x:c r="D22" s="21"/>
      <x:c r="E22" s="21"/>
      <x:c r="F22" s="22"/>
    </x:row>
    <x:row r="23" ht="36" customHeight="1">
      <x:c r="A23" s="23" t="str">
        <x:v>产品</x:v>
      </x:c>
      <x:c r="B23" s="24" t="str">
        <x:v>Agent、智能体、Copilot、自然语言、任务拆解、工作流、工具调用、混合算力调度</x:v>
      </x:c>
      <x:c r="C23" s="24"/>
      <x:c r="D23" s="24"/>
      <x:c r="E23" s="24"/>
      <x:c r="F23" s="24"/>
    </x:row>
    <x:row r="24" ht="36" customHeight="1">
      <x:c r="A24" s="23" t="str">
        <x:v>接口</x:v>
      </x:c>
      <x:c r="B24" s="24" t="str">
        <x:v>MCP、Agent API、OpenAPI、SDK、CLI、Skill、Tool、Function Calling、Webhook</x:v>
      </x:c>
      <x:c r="C24" s="24"/>
      <x:c r="D24" s="24"/>
      <x:c r="E24" s="24"/>
      <x:c r="F24" s="24"/>
    </x:row>
    <x:row r="25" ht="36" customHeight="1">
      <x:c r="A25" s="23" t="str">
        <x:v>交付</x:v>
      </x:c>
      <x:c r="B25" s="24" t="str">
        <x:v>公开试用、定价、SLA、客户案例、上线、Release、Benchmark、任务回执、审计轨迹</x:v>
      </x:c>
      <x:c r="C25" s="24"/>
      <x:c r="D25" s="24"/>
      <x:c r="E25" s="24"/>
      <x:c r="F25" s="24"/>
    </x:row>
    <x:row r="26" ht="36" customHeight="1">
      <x:c r="A26" s="23" t="str">
        <x:v>风险</x:v>
      </x:c>
      <x:c r="B26" s="24" t="str">
        <x:v>概念发布、招聘、联合实验室、路线图、合作签约、智能控制——都只能作为前置信号</x:v>
      </x:c>
      <x:c r="C26" s="24"/>
      <x:c r="D26" s="24"/>
      <x:c r="E26" s="24"/>
      <x:c r="F26" s="24"/>
    </x:row>
  </x:sheetData>
  <x:pageMargins left="0.7" right="0.7" top="0.75" bottom="0.75" header="0.3" footer="0.3"/>
</x:worksheet>
</file>